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DOC LINNZY\"/>
    </mc:Choice>
  </mc:AlternateContent>
  <bookViews>
    <workbookView xWindow="0" yWindow="0" windowWidth="20490" windowHeight="7755" activeTab="3"/>
  </bookViews>
  <sheets>
    <sheet name="GRAFICOS" sheetId="2" r:id="rId1"/>
    <sheet name="ANNOVA" sheetId="3" r:id="rId2"/>
    <sheet name="ANOVA ACEPTACION" sheetId="5" r:id="rId3"/>
    <sheet name="apariencia" sheetId="7" r:id="rId4"/>
    <sheet name="color" sheetId="8" r:id="rId5"/>
    <sheet name="sabor" sheetId="9" r:id="rId6"/>
    <sheet name="consistencia" sheetId="10" r:id="rId7"/>
    <sheet name="aroma" sheetId="11" r:id="rId8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" i="2" l="1"/>
  <c r="R4" i="2"/>
  <c r="R3" i="2"/>
  <c r="R2" i="2"/>
  <c r="Q5" i="2"/>
  <c r="Q4" i="2"/>
  <c r="Q3" i="2"/>
  <c r="Q2" i="2"/>
  <c r="P5" i="2"/>
  <c r="P4" i="2"/>
  <c r="P3" i="2"/>
  <c r="P2" i="2"/>
  <c r="O5" i="2"/>
  <c r="O4" i="2"/>
  <c r="O3" i="2"/>
  <c r="O2" i="2"/>
  <c r="N5" i="2"/>
  <c r="N4" i="2"/>
  <c r="N3" i="2"/>
  <c r="N2" i="2"/>
  <c r="M5" i="2"/>
  <c r="M4" i="2"/>
  <c r="M3" i="2"/>
  <c r="M2" i="2"/>
</calcChain>
</file>

<file path=xl/sharedStrings.xml><?xml version="1.0" encoding="utf-8"?>
<sst xmlns="http://schemas.openxmlformats.org/spreadsheetml/2006/main" count="239" uniqueCount="44">
  <si>
    <t>f</t>
  </si>
  <si>
    <t>m</t>
  </si>
  <si>
    <t>Apariencia</t>
  </si>
  <si>
    <t>Edad</t>
  </si>
  <si>
    <t>Genero</t>
  </si>
  <si>
    <t>Color</t>
  </si>
  <si>
    <t>Sabor</t>
  </si>
  <si>
    <t>Consistencia</t>
  </si>
  <si>
    <t>Aroma</t>
  </si>
  <si>
    <t>Aceptacion general</t>
  </si>
  <si>
    <t>Muestra</t>
  </si>
  <si>
    <t xml:space="preserve">id </t>
  </si>
  <si>
    <t>Aceptación</t>
  </si>
  <si>
    <t xml:space="preserve">m1 </t>
  </si>
  <si>
    <t xml:space="preserve">m2 </t>
  </si>
  <si>
    <t xml:space="preserve">m3 </t>
  </si>
  <si>
    <t xml:space="preserve">m4 </t>
  </si>
  <si>
    <t>m1</t>
  </si>
  <si>
    <t>Muestra 1</t>
  </si>
  <si>
    <t>Muestra 2</t>
  </si>
  <si>
    <t>Muestra 3</t>
  </si>
  <si>
    <t>Muestra 4</t>
  </si>
  <si>
    <t>Análisis de varianza de un factor</t>
  </si>
  <si>
    <t>RESUMEN</t>
  </si>
  <si>
    <t>Grupos</t>
  </si>
  <si>
    <t>Cuenta</t>
  </si>
  <si>
    <t>Suma</t>
  </si>
  <si>
    <t>Promedio</t>
  </si>
  <si>
    <t>Varianza</t>
  </si>
  <si>
    <t>ANÁLISIS DE VARIANZA</t>
  </si>
  <si>
    <t>Origen de las variaciones</t>
  </si>
  <si>
    <t>Suma de cuadrados</t>
  </si>
  <si>
    <t>Grados de libertad</t>
  </si>
  <si>
    <t>Promedio de los cuadrados</t>
  </si>
  <si>
    <t>F</t>
  </si>
  <si>
    <t>Probabilidad</t>
  </si>
  <si>
    <t>Valor crítico para F</t>
  </si>
  <si>
    <t>Entre grupos</t>
  </si>
  <si>
    <t>Dentro de los grupos</t>
  </si>
  <si>
    <t>Total</t>
  </si>
  <si>
    <t>T1</t>
  </si>
  <si>
    <t>T2</t>
  </si>
  <si>
    <t>T3</t>
  </si>
  <si>
    <t>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</si>
</sst>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165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164" fontId="0" fillId="0" borderId="0" xfId="0" applyNumberFormat="1" applyFill="1" applyBorder="1" applyAlignment="1"/>
    <xf numFmtId="2" fontId="0" fillId="0" borderId="0" xfId="0" applyNumberFormat="1" applyFill="1" applyBorder="1" applyAlignment="1"/>
    <xf numFmtId="165" fontId="0" fillId="0" borderId="0" xfId="0" applyNumberFormat="1" applyFill="1" applyBorder="1" applyAlignment="1"/>
    <xf numFmtId="165" fontId="0" fillId="0" borderId="2" xfId="0" applyNumberFormat="1" applyFill="1" applyBorder="1" applyAlignmen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99"/>
      <color rgb="FFFF7C80"/>
      <color rgb="FFCCFFFF"/>
      <color rgb="FF9966FF"/>
      <color rgb="FFFFCC66"/>
      <color rgb="FF66CCFF"/>
      <color rgb="FF00FFFF"/>
      <color rgb="FFFFFF66"/>
      <color rgb="FFFF9933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Pruebas</a:t>
            </a:r>
            <a:r>
              <a:rPr lang="es-BO" baseline="0"/>
              <a:t> organolepticas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GRAFICOS!$L$2</c:f>
              <c:strCache>
                <c:ptCount val="1"/>
                <c:pt idx="0">
                  <c:v>m1 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GRAFICOS!$M$1:$R$1</c:f>
              <c:strCache>
                <c:ptCount val="6"/>
                <c:pt idx="0">
                  <c:v>Apariencia</c:v>
                </c:pt>
                <c:pt idx="1">
                  <c:v>Color</c:v>
                </c:pt>
                <c:pt idx="2">
                  <c:v>Sabor</c:v>
                </c:pt>
                <c:pt idx="3">
                  <c:v>Consistencia</c:v>
                </c:pt>
                <c:pt idx="4">
                  <c:v>Aroma</c:v>
                </c:pt>
                <c:pt idx="5">
                  <c:v>Aceptación</c:v>
                </c:pt>
              </c:strCache>
            </c:strRef>
          </c:cat>
          <c:val>
            <c:numRef>
              <c:f>GRAFICOS!$M$2:$R$2</c:f>
              <c:numCache>
                <c:formatCode>0.0</c:formatCode>
                <c:ptCount val="6"/>
                <c:pt idx="0">
                  <c:v>6.6363636363636367</c:v>
                </c:pt>
                <c:pt idx="1">
                  <c:v>6.5454545454545459</c:v>
                </c:pt>
                <c:pt idx="2">
                  <c:v>6.4545454545454541</c:v>
                </c:pt>
                <c:pt idx="3">
                  <c:v>7.3636363636363633</c:v>
                </c:pt>
                <c:pt idx="4">
                  <c:v>6.3636363636363633</c:v>
                </c:pt>
                <c:pt idx="5">
                  <c:v>7.0909090909090908</c:v>
                </c:pt>
              </c:numCache>
            </c:numRef>
          </c:val>
        </c:ser>
        <c:ser>
          <c:idx val="1"/>
          <c:order val="1"/>
          <c:tx>
            <c:strRef>
              <c:f>GRAFICOS!$L$3</c:f>
              <c:strCache>
                <c:ptCount val="1"/>
                <c:pt idx="0">
                  <c:v>m2 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GRAFICOS!$M$1:$R$1</c:f>
              <c:strCache>
                <c:ptCount val="6"/>
                <c:pt idx="0">
                  <c:v>Apariencia</c:v>
                </c:pt>
                <c:pt idx="1">
                  <c:v>Color</c:v>
                </c:pt>
                <c:pt idx="2">
                  <c:v>Sabor</c:v>
                </c:pt>
                <c:pt idx="3">
                  <c:v>Consistencia</c:v>
                </c:pt>
                <c:pt idx="4">
                  <c:v>Aroma</c:v>
                </c:pt>
                <c:pt idx="5">
                  <c:v>Aceptación</c:v>
                </c:pt>
              </c:strCache>
            </c:strRef>
          </c:cat>
          <c:val>
            <c:numRef>
              <c:f>GRAFICOS!$M$3:$R$3</c:f>
              <c:numCache>
                <c:formatCode>0.0</c:formatCode>
                <c:ptCount val="6"/>
                <c:pt idx="0">
                  <c:v>6.4545454545454541</c:v>
                </c:pt>
                <c:pt idx="1">
                  <c:v>6.1818181818181817</c:v>
                </c:pt>
                <c:pt idx="2">
                  <c:v>7.1818181818181817</c:v>
                </c:pt>
                <c:pt idx="3">
                  <c:v>7.2727272727272725</c:v>
                </c:pt>
                <c:pt idx="4">
                  <c:v>6.0909090909090908</c:v>
                </c:pt>
                <c:pt idx="5">
                  <c:v>7.7272727272727275</c:v>
                </c:pt>
              </c:numCache>
            </c:numRef>
          </c:val>
        </c:ser>
        <c:ser>
          <c:idx val="2"/>
          <c:order val="2"/>
          <c:tx>
            <c:strRef>
              <c:f>GRAFICOS!$L$4</c:f>
              <c:strCache>
                <c:ptCount val="1"/>
                <c:pt idx="0">
                  <c:v>m3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GRAFICOS!$M$1:$R$1</c:f>
              <c:strCache>
                <c:ptCount val="6"/>
                <c:pt idx="0">
                  <c:v>Apariencia</c:v>
                </c:pt>
                <c:pt idx="1">
                  <c:v>Color</c:v>
                </c:pt>
                <c:pt idx="2">
                  <c:v>Sabor</c:v>
                </c:pt>
                <c:pt idx="3">
                  <c:v>Consistencia</c:v>
                </c:pt>
                <c:pt idx="4">
                  <c:v>Aroma</c:v>
                </c:pt>
                <c:pt idx="5">
                  <c:v>Aceptación</c:v>
                </c:pt>
              </c:strCache>
            </c:strRef>
          </c:cat>
          <c:val>
            <c:numRef>
              <c:f>GRAFICOS!$M$4:$R$4</c:f>
              <c:numCache>
                <c:formatCode>0.0</c:formatCode>
                <c:ptCount val="6"/>
                <c:pt idx="0">
                  <c:v>6.9090909090909092</c:v>
                </c:pt>
                <c:pt idx="1">
                  <c:v>6.9090909090909092</c:v>
                </c:pt>
                <c:pt idx="2">
                  <c:v>7.9090909090909092</c:v>
                </c:pt>
                <c:pt idx="3">
                  <c:v>7.6363636363636367</c:v>
                </c:pt>
                <c:pt idx="4">
                  <c:v>6.9090909090909092</c:v>
                </c:pt>
                <c:pt idx="5">
                  <c:v>8.0909090909090917</c:v>
                </c:pt>
              </c:numCache>
            </c:numRef>
          </c:val>
        </c:ser>
        <c:ser>
          <c:idx val="3"/>
          <c:order val="3"/>
          <c:tx>
            <c:strRef>
              <c:f>GRAFICOS!$L$5</c:f>
              <c:strCache>
                <c:ptCount val="1"/>
                <c:pt idx="0">
                  <c:v>m4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GRAFICOS!$M$1:$R$1</c:f>
              <c:strCache>
                <c:ptCount val="6"/>
                <c:pt idx="0">
                  <c:v>Apariencia</c:v>
                </c:pt>
                <c:pt idx="1">
                  <c:v>Color</c:v>
                </c:pt>
                <c:pt idx="2">
                  <c:v>Sabor</c:v>
                </c:pt>
                <c:pt idx="3">
                  <c:v>Consistencia</c:v>
                </c:pt>
                <c:pt idx="4">
                  <c:v>Aroma</c:v>
                </c:pt>
                <c:pt idx="5">
                  <c:v>Aceptación</c:v>
                </c:pt>
              </c:strCache>
            </c:strRef>
          </c:cat>
          <c:val>
            <c:numRef>
              <c:f>GRAFICOS!$M$5:$R$5</c:f>
              <c:numCache>
                <c:formatCode>0.0</c:formatCode>
                <c:ptCount val="6"/>
                <c:pt idx="0">
                  <c:v>7.7272727272727275</c:v>
                </c:pt>
                <c:pt idx="1">
                  <c:v>7.2727272727272725</c:v>
                </c:pt>
                <c:pt idx="2">
                  <c:v>8.3636363636363633</c:v>
                </c:pt>
                <c:pt idx="3">
                  <c:v>8.2727272727272734</c:v>
                </c:pt>
                <c:pt idx="4">
                  <c:v>8.1818181818181817</c:v>
                </c:pt>
                <c:pt idx="5">
                  <c:v>8.6363636363636367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6428256"/>
        <c:axId val="126428640"/>
        <c:axId val="0"/>
      </c:bar3DChart>
      <c:catAx>
        <c:axId val="12642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6428640"/>
        <c:crosses val="autoZero"/>
        <c:auto val="1"/>
        <c:lblAlgn val="ctr"/>
        <c:lblOffset val="100"/>
        <c:noMultiLvlLbl val="0"/>
      </c:catAx>
      <c:valAx>
        <c:axId val="12642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642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GRAFICOS!$M$26</c:f>
              <c:strCache>
                <c:ptCount val="1"/>
                <c:pt idx="0">
                  <c:v>Aceptación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GRAFICOS!$M$27:$M$30</c:f>
              <c:numCache>
                <c:formatCode>General</c:formatCode>
                <c:ptCount val="4"/>
                <c:pt idx="0">
                  <c:v>7.09</c:v>
                </c:pt>
                <c:pt idx="1">
                  <c:v>7.73</c:v>
                </c:pt>
                <c:pt idx="2">
                  <c:v>8.09</c:v>
                </c:pt>
                <c:pt idx="3">
                  <c:v>8.64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51715432"/>
        <c:axId val="251718960"/>
        <c:axId val="0"/>
      </c:bar3DChart>
      <c:catAx>
        <c:axId val="251715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51718960"/>
        <c:crosses val="autoZero"/>
        <c:auto val="1"/>
        <c:lblAlgn val="ctr"/>
        <c:lblOffset val="100"/>
        <c:noMultiLvlLbl val="0"/>
      </c:catAx>
      <c:valAx>
        <c:axId val="25171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51715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GRAFICOS!$L$49:$L$49</c:f>
              <c:numCache>
                <c:formatCode>General</c:formatCode>
                <c:ptCount val="1"/>
              </c:numCache>
            </c:numRef>
          </c:cat>
          <c:val>
            <c:numRef>
              <c:f>GRAFICOS!$M$49:$M$49</c:f>
              <c:numCache>
                <c:formatCode>General</c:formatCode>
                <c:ptCount val="1"/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GRAFICOS!#REF!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51715824"/>
        <c:axId val="251716216"/>
      </c:barChart>
      <c:catAx>
        <c:axId val="25171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51716216"/>
        <c:crosses val="autoZero"/>
        <c:auto val="1"/>
        <c:lblAlgn val="ctr"/>
        <c:lblOffset val="100"/>
        <c:noMultiLvlLbl val="0"/>
      </c:catAx>
      <c:valAx>
        <c:axId val="2517162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517158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'ANOVA ACEPTACION'!$A$1</c:f>
              <c:strCache>
                <c:ptCount val="1"/>
                <c:pt idx="0">
                  <c:v>T2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'ANOVA ACEPTACION'!$A$2:$A$12</c:f>
              <c:numCache>
                <c:formatCode>General</c:formatCode>
                <c:ptCount val="11"/>
                <c:pt idx="0">
                  <c:v>7</c:v>
                </c:pt>
                <c:pt idx="1">
                  <c:v>8</c:v>
                </c:pt>
                <c:pt idx="2">
                  <c:v>8</c:v>
                </c:pt>
                <c:pt idx="3">
                  <c:v>6</c:v>
                </c:pt>
                <c:pt idx="4">
                  <c:v>7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</c:numCache>
            </c:numRef>
          </c:val>
        </c:ser>
        <c:ser>
          <c:idx val="1"/>
          <c:order val="1"/>
          <c:tx>
            <c:strRef>
              <c:f>'ANOVA ACEPTACION'!$B$1</c:f>
              <c:strCache>
                <c:ptCount val="1"/>
                <c:pt idx="0">
                  <c:v>T4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'ANOVA ACEPTACION'!$B$2:$B$12</c:f>
              <c:numCache>
                <c:formatCode>General</c:formatCode>
                <c:ptCount val="11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9</c:v>
                </c:pt>
                <c:pt idx="9">
                  <c:v>8</c:v>
                </c:pt>
                <c:pt idx="10">
                  <c:v>9</c:v>
                </c:pt>
              </c:numCache>
            </c:numRef>
          </c:val>
        </c:ser>
        <c:ser>
          <c:idx val="2"/>
          <c:order val="2"/>
          <c:tx>
            <c:strRef>
              <c:f>'ANOVA ACEPTACION'!$C$1</c:f>
              <c:strCache>
                <c:ptCount val="1"/>
                <c:pt idx="0">
                  <c:v>T1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'ANOVA ACEPTACION'!$C$2:$C$12</c:f>
              <c:numCache>
                <c:formatCode>General</c:formatCode>
                <c:ptCount val="11"/>
                <c:pt idx="0">
                  <c:v>6</c:v>
                </c:pt>
                <c:pt idx="1">
                  <c:v>8</c:v>
                </c:pt>
                <c:pt idx="2">
                  <c:v>7</c:v>
                </c:pt>
                <c:pt idx="3">
                  <c:v>5</c:v>
                </c:pt>
                <c:pt idx="4">
                  <c:v>5</c:v>
                </c:pt>
                <c:pt idx="5">
                  <c:v>8</c:v>
                </c:pt>
                <c:pt idx="6">
                  <c:v>9</c:v>
                </c:pt>
                <c:pt idx="7">
                  <c:v>7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</c:numCache>
            </c:numRef>
          </c:val>
        </c:ser>
        <c:ser>
          <c:idx val="3"/>
          <c:order val="3"/>
          <c:tx>
            <c:strRef>
              <c:f>'ANOVA ACEPTACION'!$D$1</c:f>
              <c:strCache>
                <c:ptCount val="1"/>
                <c:pt idx="0">
                  <c:v>T3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val>
            <c:numRef>
              <c:f>'ANOVA ACEPTACION'!$D$2:$D$12</c:f>
              <c:numCache>
                <c:formatCode>General</c:formatCode>
                <c:ptCount val="11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9</c:v>
                </c:pt>
                <c:pt idx="7">
                  <c:v>6</c:v>
                </c:pt>
                <c:pt idx="8">
                  <c:v>9</c:v>
                </c:pt>
                <c:pt idx="9">
                  <c:v>8</c:v>
                </c:pt>
                <c:pt idx="10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2304232"/>
        <c:axId val="332305800"/>
        <c:axId val="0"/>
      </c:bar3DChart>
      <c:catAx>
        <c:axId val="332304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32305800"/>
        <c:crosses val="autoZero"/>
        <c:auto val="1"/>
        <c:lblAlgn val="ctr"/>
        <c:lblOffset val="100"/>
        <c:noMultiLvlLbl val="0"/>
      </c:catAx>
      <c:valAx>
        <c:axId val="33230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32304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Aceptacion de apariencia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apariencia!$A$1</c:f>
              <c:strCache>
                <c:ptCount val="1"/>
                <c:pt idx="0">
                  <c:v>T1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val>
            <c:numRef>
              <c:f>apariencia!$A$2:$A$12</c:f>
              <c:numCache>
                <c:formatCode>General</c:formatCode>
                <c:ptCount val="11"/>
                <c:pt idx="0">
                  <c:v>6</c:v>
                </c:pt>
                <c:pt idx="1">
                  <c:v>8</c:v>
                </c:pt>
                <c:pt idx="2">
                  <c:v>7</c:v>
                </c:pt>
                <c:pt idx="3">
                  <c:v>5</c:v>
                </c:pt>
                <c:pt idx="4">
                  <c:v>7</c:v>
                </c:pt>
                <c:pt idx="5">
                  <c:v>7</c:v>
                </c:pt>
                <c:pt idx="6">
                  <c:v>8</c:v>
                </c:pt>
                <c:pt idx="7">
                  <c:v>5</c:v>
                </c:pt>
                <c:pt idx="8">
                  <c:v>6</c:v>
                </c:pt>
                <c:pt idx="9">
                  <c:v>8</c:v>
                </c:pt>
                <c:pt idx="10">
                  <c:v>6</c:v>
                </c:pt>
              </c:numCache>
            </c:numRef>
          </c:val>
        </c:ser>
        <c:ser>
          <c:idx val="1"/>
          <c:order val="1"/>
          <c:tx>
            <c:strRef>
              <c:f>apariencia!$B$1</c:f>
              <c:strCache>
                <c:ptCount val="1"/>
                <c:pt idx="0">
                  <c:v>T2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val>
            <c:numRef>
              <c:f>apariencia!$B$2:$B$12</c:f>
              <c:numCache>
                <c:formatCode>General</c:formatCode>
                <c:ptCount val="11"/>
                <c:pt idx="0">
                  <c:v>7</c:v>
                </c:pt>
                <c:pt idx="1">
                  <c:v>8</c:v>
                </c:pt>
                <c:pt idx="2">
                  <c:v>8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8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7</c:v>
                </c:pt>
              </c:numCache>
            </c:numRef>
          </c:val>
        </c:ser>
        <c:ser>
          <c:idx val="2"/>
          <c:order val="2"/>
          <c:tx>
            <c:strRef>
              <c:f>apariencia!$C$1</c:f>
              <c:strCache>
                <c:ptCount val="1"/>
                <c:pt idx="0">
                  <c:v>T3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val>
            <c:numRef>
              <c:f>apariencia!$C$2:$C$12</c:f>
              <c:numCache>
                <c:formatCode>General</c:formatCode>
                <c:ptCount val="11"/>
                <c:pt idx="0">
                  <c:v>7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5</c:v>
                </c:pt>
                <c:pt idx="8">
                  <c:v>6</c:v>
                </c:pt>
                <c:pt idx="9">
                  <c:v>8</c:v>
                </c:pt>
                <c:pt idx="10">
                  <c:v>7</c:v>
                </c:pt>
              </c:numCache>
            </c:numRef>
          </c:val>
        </c:ser>
        <c:ser>
          <c:idx val="3"/>
          <c:order val="3"/>
          <c:tx>
            <c:strRef>
              <c:f>apariencia!$D$1</c:f>
              <c:strCache>
                <c:ptCount val="1"/>
                <c:pt idx="0">
                  <c:v>T4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val>
            <c:numRef>
              <c:f>apariencia!$D$2:$D$12</c:f>
              <c:numCache>
                <c:formatCode>General</c:formatCode>
                <c:ptCount val="11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9</c:v>
                </c:pt>
                <c:pt idx="5">
                  <c:v>7</c:v>
                </c:pt>
                <c:pt idx="6">
                  <c:v>9</c:v>
                </c:pt>
                <c:pt idx="7">
                  <c:v>5</c:v>
                </c:pt>
                <c:pt idx="8">
                  <c:v>6</c:v>
                </c:pt>
                <c:pt idx="9">
                  <c:v>8</c:v>
                </c:pt>
                <c:pt idx="10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51717000"/>
        <c:axId val="251717392"/>
        <c:axId val="0"/>
      </c:bar3DChart>
      <c:catAx>
        <c:axId val="251717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51717392"/>
        <c:crosses val="autoZero"/>
        <c:auto val="1"/>
        <c:lblAlgn val="ctr"/>
        <c:lblOffset val="100"/>
        <c:noMultiLvlLbl val="0"/>
      </c:catAx>
      <c:valAx>
        <c:axId val="25171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251717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Color</a:t>
            </a:r>
          </a:p>
          <a:p>
            <a:pPr>
              <a:defRPr/>
            </a:pP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color!$A$1</c:f>
              <c:strCache>
                <c:ptCount val="1"/>
                <c:pt idx="0">
                  <c:v>T1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color!$A$2:$A$12</c:f>
              <c:numCache>
                <c:formatCode>General</c:formatCode>
                <c:ptCount val="11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7</c:v>
                </c:pt>
                <c:pt idx="7">
                  <c:v>4</c:v>
                </c:pt>
                <c:pt idx="8">
                  <c:v>6</c:v>
                </c:pt>
                <c:pt idx="9">
                  <c:v>2</c:v>
                </c:pt>
                <c:pt idx="10">
                  <c:v>5</c:v>
                </c:pt>
              </c:numCache>
            </c:numRef>
          </c:val>
        </c:ser>
        <c:ser>
          <c:idx val="1"/>
          <c:order val="1"/>
          <c:tx>
            <c:strRef>
              <c:f>color!$B$1</c:f>
              <c:strCache>
                <c:ptCount val="1"/>
                <c:pt idx="0">
                  <c:v>T2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  <a:sp3d/>
          </c:spPr>
          <c:invertIfNegative val="0"/>
          <c:val>
            <c:numRef>
              <c:f>color!$B$2:$B$12</c:f>
              <c:numCache>
                <c:formatCode>General</c:formatCode>
                <c:ptCount val="11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6</c:v>
                </c:pt>
                <c:pt idx="4">
                  <c:v>5</c:v>
                </c:pt>
                <c:pt idx="5">
                  <c:v>9</c:v>
                </c:pt>
                <c:pt idx="6">
                  <c:v>7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6</c:v>
                </c:pt>
              </c:numCache>
            </c:numRef>
          </c:val>
        </c:ser>
        <c:ser>
          <c:idx val="2"/>
          <c:order val="2"/>
          <c:tx>
            <c:strRef>
              <c:f>color!$C$1</c:f>
              <c:strCache>
                <c:ptCount val="1"/>
                <c:pt idx="0">
                  <c:v>T3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  <a:sp3d/>
          </c:spPr>
          <c:invertIfNegative val="0"/>
          <c:val>
            <c:numRef>
              <c:f>color!$C$2:$C$12</c:f>
              <c:numCache>
                <c:formatCode>General</c:formatCode>
                <c:ptCount val="11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4</c:v>
                </c:pt>
                <c:pt idx="8">
                  <c:v>6</c:v>
                </c:pt>
                <c:pt idx="9">
                  <c:v>5</c:v>
                </c:pt>
                <c:pt idx="10">
                  <c:v>7</c:v>
                </c:pt>
              </c:numCache>
            </c:numRef>
          </c:val>
        </c:ser>
        <c:ser>
          <c:idx val="3"/>
          <c:order val="3"/>
          <c:tx>
            <c:strRef>
              <c:f>color!$D$1</c:f>
              <c:strCache>
                <c:ptCount val="1"/>
                <c:pt idx="0">
                  <c:v>T4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  <a:sp3d/>
          </c:spPr>
          <c:invertIfNegative val="0"/>
          <c:val>
            <c:numRef>
              <c:f>color!$D$2:$D$12</c:f>
              <c:numCache>
                <c:formatCode>General</c:formatCode>
                <c:ptCount val="11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4</c:v>
                </c:pt>
                <c:pt idx="8">
                  <c:v>6</c:v>
                </c:pt>
                <c:pt idx="9">
                  <c:v>6</c:v>
                </c:pt>
                <c:pt idx="10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721384"/>
        <c:axId val="125721776"/>
        <c:axId val="0"/>
      </c:bar3DChart>
      <c:catAx>
        <c:axId val="125721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5721776"/>
        <c:crosses val="autoZero"/>
        <c:auto val="1"/>
        <c:lblAlgn val="ctr"/>
        <c:lblOffset val="100"/>
        <c:noMultiLvlLbl val="0"/>
      </c:catAx>
      <c:valAx>
        <c:axId val="12572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5721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Sabor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sabor!$A$1</c:f>
              <c:strCache>
                <c:ptCount val="1"/>
                <c:pt idx="0">
                  <c:v>T1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sabor!$A$2:$A$12</c:f>
              <c:numCache>
                <c:formatCode>General</c:formatCode>
                <c:ptCount val="11"/>
                <c:pt idx="0">
                  <c:v>6</c:v>
                </c:pt>
                <c:pt idx="1">
                  <c:v>9</c:v>
                </c:pt>
                <c:pt idx="2">
                  <c:v>7</c:v>
                </c:pt>
                <c:pt idx="3">
                  <c:v>5</c:v>
                </c:pt>
                <c:pt idx="4">
                  <c:v>8</c:v>
                </c:pt>
                <c:pt idx="5">
                  <c:v>6</c:v>
                </c:pt>
                <c:pt idx="6">
                  <c:v>8</c:v>
                </c:pt>
                <c:pt idx="7">
                  <c:v>7</c:v>
                </c:pt>
                <c:pt idx="8">
                  <c:v>8</c:v>
                </c:pt>
                <c:pt idx="9">
                  <c:v>2</c:v>
                </c:pt>
                <c:pt idx="10">
                  <c:v>5</c:v>
                </c:pt>
              </c:numCache>
            </c:numRef>
          </c:val>
        </c:ser>
        <c:ser>
          <c:idx val="1"/>
          <c:order val="1"/>
          <c:tx>
            <c:strRef>
              <c:f>sabor!$B$1</c:f>
              <c:strCache>
                <c:ptCount val="1"/>
                <c:pt idx="0">
                  <c:v>T2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sabor!$B$2:$B$12</c:f>
              <c:numCache>
                <c:formatCode>General</c:formatCode>
                <c:ptCount val="11"/>
                <c:pt idx="0">
                  <c:v>6</c:v>
                </c:pt>
                <c:pt idx="1">
                  <c:v>9</c:v>
                </c:pt>
                <c:pt idx="2">
                  <c:v>7</c:v>
                </c:pt>
                <c:pt idx="3">
                  <c:v>4</c:v>
                </c:pt>
                <c:pt idx="4">
                  <c:v>7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8</c:v>
                </c:pt>
                <c:pt idx="9">
                  <c:v>4</c:v>
                </c:pt>
                <c:pt idx="10">
                  <c:v>8</c:v>
                </c:pt>
              </c:numCache>
            </c:numRef>
          </c:val>
        </c:ser>
        <c:ser>
          <c:idx val="2"/>
          <c:order val="2"/>
          <c:tx>
            <c:strRef>
              <c:f>sabor!$C$1</c:f>
              <c:strCache>
                <c:ptCount val="1"/>
                <c:pt idx="0">
                  <c:v>T3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val>
            <c:numRef>
              <c:f>sabor!$C$2:$C$12</c:f>
              <c:numCache>
                <c:formatCode>General</c:formatCode>
                <c:ptCount val="11"/>
                <c:pt idx="0">
                  <c:v>7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9</c:v>
                </c:pt>
                <c:pt idx="6">
                  <c:v>9</c:v>
                </c:pt>
                <c:pt idx="7">
                  <c:v>6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</c:numCache>
            </c:numRef>
          </c:val>
        </c:ser>
        <c:ser>
          <c:idx val="3"/>
          <c:order val="3"/>
          <c:tx>
            <c:strRef>
              <c:f>sabor!$D$1</c:f>
              <c:strCache>
                <c:ptCount val="1"/>
                <c:pt idx="0">
                  <c:v>T4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  <a:sp3d/>
          </c:spPr>
          <c:invertIfNegative val="0"/>
          <c:val>
            <c:numRef>
              <c:f>sabor!$D$2:$D$12</c:f>
              <c:numCache>
                <c:formatCode>General</c:formatCode>
                <c:ptCount val="11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7</c:v>
                </c:pt>
                <c:pt idx="8">
                  <c:v>9</c:v>
                </c:pt>
                <c:pt idx="9">
                  <c:v>9</c:v>
                </c:pt>
                <c:pt idx="10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725696"/>
        <c:axId val="125726088"/>
        <c:axId val="0"/>
      </c:bar3DChart>
      <c:catAx>
        <c:axId val="1257256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5726088"/>
        <c:crosses val="autoZero"/>
        <c:auto val="1"/>
        <c:lblAlgn val="ctr"/>
        <c:lblOffset val="100"/>
        <c:noMultiLvlLbl val="0"/>
      </c:catAx>
      <c:valAx>
        <c:axId val="12572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572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Consistencia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consistencia!$A$1</c:f>
              <c:strCache>
                <c:ptCount val="1"/>
                <c:pt idx="0">
                  <c:v>T1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consistencia!$A$2:$A$12</c:f>
              <c:numCache>
                <c:formatCode>General</c:formatCode>
                <c:ptCount val="11"/>
                <c:pt idx="0">
                  <c:v>7</c:v>
                </c:pt>
                <c:pt idx="1">
                  <c:v>7</c:v>
                </c:pt>
                <c:pt idx="2">
                  <c:v>8</c:v>
                </c:pt>
                <c:pt idx="3">
                  <c:v>6</c:v>
                </c:pt>
                <c:pt idx="4">
                  <c:v>6</c:v>
                </c:pt>
                <c:pt idx="5">
                  <c:v>9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8</c:v>
                </c:pt>
                <c:pt idx="10">
                  <c:v>6</c:v>
                </c:pt>
              </c:numCache>
            </c:numRef>
          </c:val>
        </c:ser>
        <c:ser>
          <c:idx val="1"/>
          <c:order val="1"/>
          <c:tx>
            <c:strRef>
              <c:f>consistencia!$B$1</c:f>
              <c:strCache>
                <c:ptCount val="1"/>
                <c:pt idx="0">
                  <c:v>T2</c:v>
                </c:pt>
              </c:strCache>
            </c:strRef>
          </c:tx>
          <c:spPr>
            <a:solidFill>
              <a:srgbClr val="FFFF66"/>
            </a:solidFill>
            <a:ln>
              <a:noFill/>
            </a:ln>
            <a:effectLst/>
            <a:sp3d/>
          </c:spPr>
          <c:invertIfNegative val="0"/>
          <c:val>
            <c:numRef>
              <c:f>consistencia!$B$2:$B$12</c:f>
              <c:numCache>
                <c:formatCode>General</c:formatCode>
                <c:ptCount val="11"/>
                <c:pt idx="0">
                  <c:v>7</c:v>
                </c:pt>
                <c:pt idx="1">
                  <c:v>9</c:v>
                </c:pt>
                <c:pt idx="2">
                  <c:v>8</c:v>
                </c:pt>
                <c:pt idx="3">
                  <c:v>5</c:v>
                </c:pt>
                <c:pt idx="4">
                  <c:v>8</c:v>
                </c:pt>
                <c:pt idx="5">
                  <c:v>9</c:v>
                </c:pt>
                <c:pt idx="6">
                  <c:v>8</c:v>
                </c:pt>
                <c:pt idx="7">
                  <c:v>9</c:v>
                </c:pt>
                <c:pt idx="8">
                  <c:v>9</c:v>
                </c:pt>
                <c:pt idx="9">
                  <c:v>3</c:v>
                </c:pt>
                <c:pt idx="10">
                  <c:v>5</c:v>
                </c:pt>
              </c:numCache>
            </c:numRef>
          </c:val>
        </c:ser>
        <c:ser>
          <c:idx val="2"/>
          <c:order val="2"/>
          <c:tx>
            <c:strRef>
              <c:f>consistencia!$C$1</c:f>
              <c:strCache>
                <c:ptCount val="1"/>
                <c:pt idx="0">
                  <c:v>T3</c:v>
                </c:pt>
              </c:strCache>
            </c:strRef>
          </c:tx>
          <c:spPr>
            <a:solidFill>
              <a:srgbClr val="FF9933"/>
            </a:solidFill>
            <a:ln>
              <a:noFill/>
            </a:ln>
            <a:effectLst/>
            <a:sp3d/>
          </c:spPr>
          <c:invertIfNegative val="0"/>
          <c:val>
            <c:numRef>
              <c:f>consistencia!$C$2:$C$12</c:f>
              <c:numCache>
                <c:formatCode>General</c:formatCode>
                <c:ptCount val="11"/>
                <c:pt idx="0">
                  <c:v>8</c:v>
                </c:pt>
                <c:pt idx="1">
                  <c:v>7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  <c:pt idx="6">
                  <c:v>8</c:v>
                </c:pt>
                <c:pt idx="7">
                  <c:v>7</c:v>
                </c:pt>
                <c:pt idx="8">
                  <c:v>9</c:v>
                </c:pt>
                <c:pt idx="9">
                  <c:v>9</c:v>
                </c:pt>
                <c:pt idx="10">
                  <c:v>8</c:v>
                </c:pt>
              </c:numCache>
            </c:numRef>
          </c:val>
        </c:ser>
        <c:ser>
          <c:idx val="3"/>
          <c:order val="3"/>
          <c:tx>
            <c:strRef>
              <c:f>consistencia!$D$1</c:f>
              <c:strCache>
                <c:ptCount val="1"/>
                <c:pt idx="0">
                  <c:v>T4</c:v>
                </c:pt>
              </c:strCache>
            </c:strRef>
          </c:tx>
          <c:spPr>
            <a:solidFill>
              <a:srgbClr val="FF66FF"/>
            </a:solidFill>
            <a:ln>
              <a:noFill/>
            </a:ln>
            <a:effectLst/>
            <a:sp3d/>
          </c:spPr>
          <c:invertIfNegative val="0"/>
          <c:val>
            <c:numRef>
              <c:f>consistencia!$D$2:$D$12</c:f>
              <c:numCache>
                <c:formatCode>General</c:formatCode>
                <c:ptCount val="11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9</c:v>
                </c:pt>
                <c:pt idx="5">
                  <c:v>5</c:v>
                </c:pt>
                <c:pt idx="6">
                  <c:v>9</c:v>
                </c:pt>
                <c:pt idx="7">
                  <c:v>8</c:v>
                </c:pt>
                <c:pt idx="8">
                  <c:v>9</c:v>
                </c:pt>
                <c:pt idx="9">
                  <c:v>8</c:v>
                </c:pt>
                <c:pt idx="10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723736"/>
        <c:axId val="125720992"/>
        <c:axId val="0"/>
      </c:bar3DChart>
      <c:catAx>
        <c:axId val="1257237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5720992"/>
        <c:crosses val="autoZero"/>
        <c:auto val="1"/>
        <c:lblAlgn val="ctr"/>
        <c:lblOffset val="100"/>
        <c:noMultiLvlLbl val="0"/>
      </c:catAx>
      <c:valAx>
        <c:axId val="12572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5723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Aroma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aroma!$A$1</c:f>
              <c:strCache>
                <c:ptCount val="1"/>
                <c:pt idx="0">
                  <c:v>T1</c:v>
                </c:pt>
              </c:strCache>
            </c:strRef>
          </c:tx>
          <c:spPr>
            <a:solidFill>
              <a:srgbClr val="99FF99"/>
            </a:solidFill>
            <a:ln>
              <a:noFill/>
            </a:ln>
            <a:effectLst/>
            <a:sp3d/>
          </c:spPr>
          <c:invertIfNegative val="0"/>
          <c:val>
            <c:numRef>
              <c:f>aroma!$A$2:$A$12</c:f>
              <c:numCache>
                <c:formatCode>General</c:formatCode>
                <c:ptCount val="11"/>
                <c:pt idx="0">
                  <c:v>7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7</c:v>
                </c:pt>
                <c:pt idx="7">
                  <c:v>7</c:v>
                </c:pt>
                <c:pt idx="8">
                  <c:v>9</c:v>
                </c:pt>
                <c:pt idx="9">
                  <c:v>8</c:v>
                </c:pt>
                <c:pt idx="10">
                  <c:v>4</c:v>
                </c:pt>
              </c:numCache>
            </c:numRef>
          </c:val>
        </c:ser>
        <c:ser>
          <c:idx val="1"/>
          <c:order val="1"/>
          <c:tx>
            <c:strRef>
              <c:f>aroma!$B$1</c:f>
              <c:strCache>
                <c:ptCount val="1"/>
                <c:pt idx="0">
                  <c:v>T2</c:v>
                </c:pt>
              </c:strCache>
            </c:strRef>
          </c:tx>
          <c:spPr>
            <a:solidFill>
              <a:srgbClr val="FF7C80"/>
            </a:solidFill>
            <a:ln>
              <a:noFill/>
            </a:ln>
            <a:effectLst/>
            <a:sp3d/>
          </c:spPr>
          <c:invertIfNegative val="0"/>
          <c:val>
            <c:numRef>
              <c:f>aroma!$B$2:$B$12</c:f>
              <c:numCache>
                <c:formatCode>General</c:formatCode>
                <c:ptCount val="11"/>
                <c:pt idx="0">
                  <c:v>7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9</c:v>
                </c:pt>
                <c:pt idx="6">
                  <c:v>6</c:v>
                </c:pt>
                <c:pt idx="7">
                  <c:v>8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</c:numCache>
            </c:numRef>
          </c:val>
        </c:ser>
        <c:ser>
          <c:idx val="2"/>
          <c:order val="2"/>
          <c:tx>
            <c:strRef>
              <c:f>aroma!$C$1</c:f>
              <c:strCache>
                <c:ptCount val="1"/>
                <c:pt idx="0">
                  <c:v>T3</c:v>
                </c:pt>
              </c:strCache>
            </c:strRef>
          </c:tx>
          <c:spPr>
            <a:solidFill>
              <a:srgbClr val="FFCC66"/>
            </a:solidFill>
            <a:ln>
              <a:noFill/>
            </a:ln>
            <a:effectLst/>
            <a:sp3d/>
          </c:spPr>
          <c:invertIfNegative val="0"/>
          <c:val>
            <c:numRef>
              <c:f>aroma!$C$2:$C$12</c:f>
              <c:numCache>
                <c:formatCode>General</c:formatCode>
                <c:ptCount val="11"/>
                <c:pt idx="0">
                  <c:v>7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9</c:v>
                </c:pt>
                <c:pt idx="6">
                  <c:v>7</c:v>
                </c:pt>
                <c:pt idx="7">
                  <c:v>8</c:v>
                </c:pt>
                <c:pt idx="8">
                  <c:v>3</c:v>
                </c:pt>
                <c:pt idx="9">
                  <c:v>8</c:v>
                </c:pt>
                <c:pt idx="10">
                  <c:v>4</c:v>
                </c:pt>
              </c:numCache>
            </c:numRef>
          </c:val>
        </c:ser>
        <c:ser>
          <c:idx val="3"/>
          <c:order val="3"/>
          <c:tx>
            <c:strRef>
              <c:f>aroma!$D$1</c:f>
              <c:strCache>
                <c:ptCount val="1"/>
                <c:pt idx="0">
                  <c:v>T4</c:v>
                </c:pt>
              </c:strCache>
            </c:strRef>
          </c:tx>
          <c:spPr>
            <a:solidFill>
              <a:srgbClr val="66CCFF"/>
            </a:solidFill>
            <a:ln>
              <a:noFill/>
            </a:ln>
            <a:effectLst/>
            <a:sp3d/>
          </c:spPr>
          <c:invertIfNegative val="0"/>
          <c:val>
            <c:numRef>
              <c:f>aroma!$D$2:$D$12</c:f>
              <c:numCache>
                <c:formatCode>General</c:formatCode>
                <c:ptCount val="11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  <c:pt idx="6">
                  <c:v>7</c:v>
                </c:pt>
                <c:pt idx="7">
                  <c:v>9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719032"/>
        <c:axId val="125722168"/>
        <c:axId val="0"/>
      </c:bar3DChart>
      <c:catAx>
        <c:axId val="125719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5722168"/>
        <c:crosses val="autoZero"/>
        <c:auto val="1"/>
        <c:lblAlgn val="ctr"/>
        <c:lblOffset val="100"/>
        <c:noMultiLvlLbl val="0"/>
      </c:catAx>
      <c:valAx>
        <c:axId val="125722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5719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</xdr:colOff>
      <xdr:row>7</xdr:row>
      <xdr:rowOff>6349</xdr:rowOff>
    </xdr:from>
    <xdr:to>
      <xdr:col>18</xdr:col>
      <xdr:colOff>38100</xdr:colOff>
      <xdr:row>21</xdr:row>
      <xdr:rowOff>82549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23</xdr:row>
      <xdr:rowOff>184149</xdr:rowOff>
    </xdr:from>
    <xdr:to>
      <xdr:col>19</xdr:col>
      <xdr:colOff>190500</xdr:colOff>
      <xdr:row>38</xdr:row>
      <xdr:rowOff>69849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673100</xdr:colOff>
      <xdr:row>40</xdr:row>
      <xdr:rowOff>44449</xdr:rowOff>
    </xdr:from>
    <xdr:to>
      <xdr:col>19</xdr:col>
      <xdr:colOff>673100</xdr:colOff>
      <xdr:row>52</xdr:row>
      <xdr:rowOff>184149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180975</xdr:colOff>
      <xdr:row>13</xdr:row>
      <xdr:rowOff>23812</xdr:rowOff>
    </xdr:from>
    <xdr:to>
      <xdr:col>7</xdr:col>
      <xdr:colOff>180975</xdr:colOff>
      <xdr:row>27</xdr:row>
      <xdr:rowOff>90487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17</xdr:row>
      <xdr:rowOff>4762</xdr:rowOff>
    </xdr:from>
    <xdr:to>
      <xdr:col>7</xdr:col>
      <xdr:colOff>9525</xdr:colOff>
      <xdr:row>31</xdr:row>
      <xdr:rowOff>80962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100012</xdr:rowOff>
    </xdr:from>
    <xdr:to>
      <xdr:col>6</xdr:col>
      <xdr:colOff>333375</xdr:colOff>
      <xdr:row>30</xdr:row>
      <xdr:rowOff>176212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17</xdr:row>
      <xdr:rowOff>119062</xdr:rowOff>
    </xdr:from>
    <xdr:to>
      <xdr:col>6</xdr:col>
      <xdr:colOff>561975</xdr:colOff>
      <xdr:row>32</xdr:row>
      <xdr:rowOff>4762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723900</xdr:colOff>
      <xdr:row>16</xdr:row>
      <xdr:rowOff>176212</xdr:rowOff>
    </xdr:from>
    <xdr:to>
      <xdr:col>6</xdr:col>
      <xdr:colOff>723900</xdr:colOff>
      <xdr:row>31</xdr:row>
      <xdr:rowOff>61912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714375</xdr:colOff>
      <xdr:row>18</xdr:row>
      <xdr:rowOff>33337</xdr:rowOff>
    </xdr:from>
    <xdr:to>
      <xdr:col>11</xdr:col>
      <xdr:colOff>714375</xdr:colOff>
      <xdr:row>32</xdr:row>
      <xdr:rowOff>109537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zoomScale="75" zoomScaleNormal="75" workbookViewId="0">
      <selection activeCell="K39" sqref="K39"/>
    </sheetView>
  </sheetViews>
  <sheetFormatPr baseColWidth="10" defaultRowHeight="15" x14ac:dyDescent="0.25"/>
  <cols>
    <col min="3" max="3" width="10.140625" customWidth="1"/>
    <col min="8" max="8" width="12" customWidth="1"/>
  </cols>
  <sheetData>
    <row r="1" spans="1:18" ht="30" x14ac:dyDescent="0.25">
      <c r="A1" s="3" t="s">
        <v>11</v>
      </c>
      <c r="B1" s="3" t="s">
        <v>10</v>
      </c>
      <c r="C1" s="3" t="s">
        <v>4</v>
      </c>
      <c r="D1" s="3" t="s">
        <v>3</v>
      </c>
      <c r="E1" s="3" t="s">
        <v>2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L1" s="7" t="s">
        <v>10</v>
      </c>
      <c r="M1" s="7" t="s">
        <v>2</v>
      </c>
      <c r="N1" s="7" t="s">
        <v>5</v>
      </c>
      <c r="O1" s="7" t="s">
        <v>6</v>
      </c>
      <c r="P1" s="7" t="s">
        <v>7</v>
      </c>
      <c r="Q1" s="7" t="s">
        <v>8</v>
      </c>
      <c r="R1" s="7" t="s">
        <v>12</v>
      </c>
    </row>
    <row r="2" spans="1:18" x14ac:dyDescent="0.25">
      <c r="A2" s="15">
        <v>1</v>
      </c>
      <c r="B2" s="1">
        <v>1</v>
      </c>
      <c r="C2" s="15" t="s">
        <v>0</v>
      </c>
      <c r="D2" s="15">
        <v>44</v>
      </c>
      <c r="E2" s="1">
        <v>6</v>
      </c>
      <c r="F2" s="1">
        <v>8</v>
      </c>
      <c r="G2" s="1">
        <v>6</v>
      </c>
      <c r="H2" s="1">
        <v>7</v>
      </c>
      <c r="I2" s="1">
        <v>7</v>
      </c>
      <c r="J2" s="1">
        <v>6</v>
      </c>
      <c r="L2" t="s">
        <v>13</v>
      </c>
      <c r="M2" s="5">
        <f>AVERAGEIF($B:$B,1,$E:$E)</f>
        <v>6.6363636363636367</v>
      </c>
      <c r="N2" s="5">
        <f>AVERAGEIF(B:B,1,F:F)</f>
        <v>6.5454545454545459</v>
      </c>
      <c r="O2" s="5">
        <f>AVERAGEIF(B:B,1,G:G)</f>
        <v>6.4545454545454541</v>
      </c>
      <c r="P2" s="5">
        <f>AVERAGEIF(B:B,1,H:H)</f>
        <v>7.3636363636363633</v>
      </c>
      <c r="Q2" s="5">
        <f>AVERAGEIF(B:B,1,I:I)</f>
        <v>6.3636363636363633</v>
      </c>
      <c r="R2" s="5">
        <f>AVERAGEIF(B:B,1,J:J)</f>
        <v>7.0909090909090908</v>
      </c>
    </row>
    <row r="3" spans="1:18" x14ac:dyDescent="0.25">
      <c r="A3" s="15"/>
      <c r="B3" s="1">
        <v>2</v>
      </c>
      <c r="C3" s="15"/>
      <c r="D3" s="15"/>
      <c r="E3" s="1">
        <v>7</v>
      </c>
      <c r="F3" s="1">
        <v>8</v>
      </c>
      <c r="G3" s="1">
        <v>6</v>
      </c>
      <c r="H3" s="1">
        <v>7</v>
      </c>
      <c r="I3" s="1">
        <v>7</v>
      </c>
      <c r="J3" s="1">
        <v>7</v>
      </c>
      <c r="L3" t="s">
        <v>14</v>
      </c>
      <c r="M3" s="5">
        <f>AVERAGEIF($B:$B,2,$E:$E)</f>
        <v>6.4545454545454541</v>
      </c>
      <c r="N3" s="5">
        <f>AVERAGEIF(B:B,2,F:F)</f>
        <v>6.1818181818181817</v>
      </c>
      <c r="O3" s="5">
        <f>AVERAGEIF(B:B,2,G:G)</f>
        <v>7.1818181818181817</v>
      </c>
      <c r="P3" s="5">
        <f>AVERAGEIF(B:B,2,H:H)</f>
        <v>7.2727272727272725</v>
      </c>
      <c r="Q3" s="5">
        <f>AVERAGEIF(B:B,2,I:I)</f>
        <v>6.0909090909090908</v>
      </c>
      <c r="R3" s="5">
        <f>AVERAGEIF(B:B,2,J:J)</f>
        <v>7.7272727272727275</v>
      </c>
    </row>
    <row r="4" spans="1:18" x14ac:dyDescent="0.25">
      <c r="A4" s="15"/>
      <c r="B4" s="1">
        <v>3</v>
      </c>
      <c r="C4" s="15"/>
      <c r="D4" s="15"/>
      <c r="E4" s="1">
        <v>7</v>
      </c>
      <c r="F4" s="1">
        <v>8</v>
      </c>
      <c r="G4" s="1">
        <v>7</v>
      </c>
      <c r="H4" s="1">
        <v>8</v>
      </c>
      <c r="I4" s="1">
        <v>7</v>
      </c>
      <c r="J4" s="1">
        <v>8</v>
      </c>
      <c r="L4" t="s">
        <v>15</v>
      </c>
      <c r="M4" s="5">
        <f>AVERAGEIF($B:$B,3,$E:$E)</f>
        <v>6.9090909090909092</v>
      </c>
      <c r="N4" s="5">
        <f>AVERAGEIF(B:B,3,F:F)</f>
        <v>6.9090909090909092</v>
      </c>
      <c r="O4" s="5">
        <f>AVERAGEIF(B:B,3,G:G)</f>
        <v>7.9090909090909092</v>
      </c>
      <c r="P4" s="5">
        <f>AVERAGEIF(B:B,3,H:H)</f>
        <v>7.6363636363636367</v>
      </c>
      <c r="Q4" s="5">
        <f>AVERAGEIF(B:B,3,I:I)</f>
        <v>6.9090909090909092</v>
      </c>
      <c r="R4" s="5">
        <f>AVERAGEIF(B:B,3,J:J)</f>
        <v>8.0909090909090917</v>
      </c>
    </row>
    <row r="5" spans="1:18" x14ac:dyDescent="0.25">
      <c r="A5" s="15"/>
      <c r="B5" s="1">
        <v>4</v>
      </c>
      <c r="C5" s="15"/>
      <c r="D5" s="15"/>
      <c r="E5" s="1">
        <v>9</v>
      </c>
      <c r="F5" s="1">
        <v>9</v>
      </c>
      <c r="G5" s="1">
        <v>9</v>
      </c>
      <c r="H5" s="1">
        <v>9</v>
      </c>
      <c r="I5" s="1">
        <v>8</v>
      </c>
      <c r="J5" s="1">
        <v>9</v>
      </c>
      <c r="L5" t="s">
        <v>16</v>
      </c>
      <c r="M5" s="5">
        <f>AVERAGEIF($B:$B,4,$E:$E)</f>
        <v>7.7272727272727275</v>
      </c>
      <c r="N5" s="5">
        <f>AVERAGEIF(B:B,4,F:F)</f>
        <v>7.2727272727272725</v>
      </c>
      <c r="O5" s="5">
        <f>AVERAGEIF(B:B,4,G:G)</f>
        <v>8.3636363636363633</v>
      </c>
      <c r="P5" s="5">
        <f>AVERAGEIF(B:B,4,H:H)</f>
        <v>8.2727272727272734</v>
      </c>
      <c r="Q5" s="5">
        <f>AVERAGEIF(B:B,4,I:I)</f>
        <v>8.1818181818181817</v>
      </c>
      <c r="R5" s="5">
        <f>AVERAGEIF(B:B,4,J:J)</f>
        <v>8.6363636363636367</v>
      </c>
    </row>
    <row r="6" spans="1:18" x14ac:dyDescent="0.25">
      <c r="A6" s="15">
        <v>2</v>
      </c>
      <c r="B6" s="1">
        <v>1</v>
      </c>
      <c r="C6" s="15" t="s">
        <v>0</v>
      </c>
      <c r="D6" s="15">
        <v>28</v>
      </c>
      <c r="E6" s="1">
        <v>8</v>
      </c>
      <c r="F6" s="1">
        <v>8</v>
      </c>
      <c r="G6" s="1">
        <v>9</v>
      </c>
      <c r="H6" s="1">
        <v>7</v>
      </c>
      <c r="I6" s="1">
        <v>8</v>
      </c>
      <c r="J6" s="1">
        <v>8</v>
      </c>
    </row>
    <row r="7" spans="1:18" x14ac:dyDescent="0.25">
      <c r="A7" s="15"/>
      <c r="B7" s="1">
        <v>2</v>
      </c>
      <c r="C7" s="15"/>
      <c r="D7" s="15"/>
      <c r="E7" s="1">
        <v>8</v>
      </c>
      <c r="F7" s="1">
        <v>8</v>
      </c>
      <c r="G7" s="1">
        <v>9</v>
      </c>
      <c r="H7" s="1">
        <v>9</v>
      </c>
      <c r="I7" s="1">
        <v>8</v>
      </c>
      <c r="J7" s="1">
        <v>8</v>
      </c>
    </row>
    <row r="8" spans="1:18" x14ac:dyDescent="0.25">
      <c r="A8" s="15"/>
      <c r="B8" s="1">
        <v>3</v>
      </c>
      <c r="C8" s="15"/>
      <c r="D8" s="15"/>
      <c r="E8" s="1">
        <v>8</v>
      </c>
      <c r="F8" s="1">
        <v>8</v>
      </c>
      <c r="G8" s="1">
        <v>9</v>
      </c>
      <c r="H8" s="1">
        <v>7</v>
      </c>
      <c r="I8" s="1">
        <v>8</v>
      </c>
      <c r="J8" s="1">
        <v>8</v>
      </c>
    </row>
    <row r="9" spans="1:18" x14ac:dyDescent="0.25">
      <c r="A9" s="15"/>
      <c r="B9" s="1">
        <v>4</v>
      </c>
      <c r="C9" s="15"/>
      <c r="D9" s="15"/>
      <c r="E9" s="1">
        <v>8</v>
      </c>
      <c r="F9" s="1">
        <v>8</v>
      </c>
      <c r="G9" s="1">
        <v>9</v>
      </c>
      <c r="H9" s="1">
        <v>9</v>
      </c>
      <c r="I9" s="1">
        <v>8</v>
      </c>
      <c r="J9" s="1">
        <v>8</v>
      </c>
    </row>
    <row r="10" spans="1:18" x14ac:dyDescent="0.25">
      <c r="A10" s="15">
        <v>3</v>
      </c>
      <c r="B10" s="1">
        <v>1</v>
      </c>
      <c r="C10" s="15" t="s">
        <v>0</v>
      </c>
      <c r="D10" s="15">
        <v>52</v>
      </c>
      <c r="E10" s="1">
        <v>7</v>
      </c>
      <c r="F10" s="1">
        <v>8</v>
      </c>
      <c r="G10" s="1">
        <v>7</v>
      </c>
      <c r="H10" s="1">
        <v>8</v>
      </c>
      <c r="I10" s="1">
        <v>6</v>
      </c>
      <c r="J10" s="1">
        <v>7</v>
      </c>
    </row>
    <row r="11" spans="1:18" x14ac:dyDescent="0.25">
      <c r="A11" s="15"/>
      <c r="B11" s="1">
        <v>2</v>
      </c>
      <c r="C11" s="15"/>
      <c r="D11" s="15"/>
      <c r="E11" s="1">
        <v>8</v>
      </c>
      <c r="F11" s="1">
        <v>8</v>
      </c>
      <c r="G11" s="1">
        <v>7</v>
      </c>
      <c r="H11" s="1">
        <v>8</v>
      </c>
      <c r="I11" s="1">
        <v>7</v>
      </c>
      <c r="J11" s="1">
        <v>8</v>
      </c>
    </row>
    <row r="12" spans="1:18" x14ac:dyDescent="0.25">
      <c r="A12" s="15"/>
      <c r="B12" s="1">
        <v>3</v>
      </c>
      <c r="C12" s="15"/>
      <c r="D12" s="15"/>
      <c r="E12" s="1">
        <v>7</v>
      </c>
      <c r="F12" s="1">
        <v>7</v>
      </c>
      <c r="G12" s="1">
        <v>8</v>
      </c>
      <c r="H12" s="1">
        <v>8</v>
      </c>
      <c r="I12" s="1">
        <v>8</v>
      </c>
      <c r="J12" s="1">
        <v>8</v>
      </c>
    </row>
    <row r="13" spans="1:18" x14ac:dyDescent="0.25">
      <c r="A13" s="15"/>
      <c r="B13" s="1">
        <v>4</v>
      </c>
      <c r="C13" s="15"/>
      <c r="D13" s="15"/>
      <c r="E13" s="1">
        <v>8</v>
      </c>
      <c r="F13" s="1">
        <v>7</v>
      </c>
      <c r="G13" s="1">
        <v>8</v>
      </c>
      <c r="H13" s="1">
        <v>8</v>
      </c>
      <c r="I13" s="1">
        <v>8</v>
      </c>
      <c r="J13" s="1">
        <v>8</v>
      </c>
    </row>
    <row r="14" spans="1:18" x14ac:dyDescent="0.25">
      <c r="A14" s="15">
        <v>4</v>
      </c>
      <c r="B14" s="1">
        <v>1</v>
      </c>
      <c r="C14" s="15" t="s">
        <v>0</v>
      </c>
      <c r="D14" s="15">
        <v>28</v>
      </c>
      <c r="E14" s="1">
        <v>5</v>
      </c>
      <c r="F14" s="1">
        <v>7</v>
      </c>
      <c r="G14" s="1">
        <v>5</v>
      </c>
      <c r="H14" s="1">
        <v>6</v>
      </c>
      <c r="I14" s="1">
        <v>4</v>
      </c>
      <c r="J14" s="1">
        <v>5</v>
      </c>
    </row>
    <row r="15" spans="1:18" x14ac:dyDescent="0.25">
      <c r="A15" s="15"/>
      <c r="B15" s="1">
        <v>2</v>
      </c>
      <c r="C15" s="15"/>
      <c r="D15" s="15"/>
      <c r="E15" s="1">
        <v>4</v>
      </c>
      <c r="F15" s="1">
        <v>6</v>
      </c>
      <c r="G15" s="1">
        <v>4</v>
      </c>
      <c r="H15" s="1">
        <v>5</v>
      </c>
      <c r="I15" s="1">
        <v>6</v>
      </c>
      <c r="J15" s="1">
        <v>6</v>
      </c>
    </row>
    <row r="16" spans="1:18" x14ac:dyDescent="0.25">
      <c r="A16" s="15"/>
      <c r="B16" s="1">
        <v>3</v>
      </c>
      <c r="C16" s="15"/>
      <c r="D16" s="15"/>
      <c r="E16" s="1">
        <v>7</v>
      </c>
      <c r="F16" s="1">
        <v>8</v>
      </c>
      <c r="G16" s="1">
        <v>8</v>
      </c>
      <c r="H16" s="1">
        <v>8</v>
      </c>
      <c r="I16" s="1">
        <v>7</v>
      </c>
      <c r="J16" s="1">
        <v>8</v>
      </c>
    </row>
    <row r="17" spans="1:13" x14ac:dyDescent="0.25">
      <c r="A17" s="15"/>
      <c r="B17" s="1">
        <v>4</v>
      </c>
      <c r="C17" s="15"/>
      <c r="D17" s="15"/>
      <c r="E17" s="1">
        <v>8</v>
      </c>
      <c r="F17" s="1">
        <v>8</v>
      </c>
      <c r="G17" s="1">
        <v>9</v>
      </c>
      <c r="H17" s="1">
        <v>8</v>
      </c>
      <c r="I17" s="1">
        <v>8</v>
      </c>
      <c r="J17" s="1">
        <v>9</v>
      </c>
    </row>
    <row r="18" spans="1:13" x14ac:dyDescent="0.25">
      <c r="A18" s="15">
        <v>5</v>
      </c>
      <c r="B18" s="2">
        <v>1</v>
      </c>
      <c r="C18" s="15" t="s">
        <v>1</v>
      </c>
      <c r="D18" s="15">
        <v>45</v>
      </c>
      <c r="E18" s="2">
        <v>7</v>
      </c>
      <c r="F18" s="2">
        <v>8</v>
      </c>
      <c r="G18" s="2">
        <v>8</v>
      </c>
      <c r="H18" s="2">
        <v>6</v>
      </c>
      <c r="I18" s="2">
        <v>5</v>
      </c>
      <c r="J18" s="2">
        <v>5</v>
      </c>
    </row>
    <row r="19" spans="1:13" x14ac:dyDescent="0.25">
      <c r="A19" s="15"/>
      <c r="B19" s="2">
        <v>2</v>
      </c>
      <c r="C19" s="15"/>
      <c r="D19" s="15"/>
      <c r="E19" s="2">
        <v>5</v>
      </c>
      <c r="F19" s="2">
        <v>5</v>
      </c>
      <c r="G19" s="2">
        <v>7</v>
      </c>
      <c r="H19" s="2">
        <v>8</v>
      </c>
      <c r="I19" s="2">
        <v>5</v>
      </c>
      <c r="J19" s="2">
        <v>7</v>
      </c>
    </row>
    <row r="20" spans="1:13" x14ac:dyDescent="0.25">
      <c r="A20" s="15"/>
      <c r="B20" s="2">
        <v>3</v>
      </c>
      <c r="C20" s="15"/>
      <c r="D20" s="15"/>
      <c r="E20" s="2">
        <v>6</v>
      </c>
      <c r="F20" s="2">
        <v>8</v>
      </c>
      <c r="G20" s="2">
        <v>7</v>
      </c>
      <c r="H20" s="2">
        <v>7</v>
      </c>
      <c r="I20" s="2">
        <v>7</v>
      </c>
      <c r="J20" s="2">
        <v>8</v>
      </c>
    </row>
    <row r="21" spans="1:13" x14ac:dyDescent="0.25">
      <c r="A21" s="15"/>
      <c r="B21" s="2">
        <v>4</v>
      </c>
      <c r="C21" s="15"/>
      <c r="D21" s="15"/>
      <c r="E21" s="2">
        <v>9</v>
      </c>
      <c r="F21" s="2">
        <v>8</v>
      </c>
      <c r="G21" s="2">
        <v>8</v>
      </c>
      <c r="H21" s="2">
        <v>9</v>
      </c>
      <c r="I21" s="2">
        <v>8</v>
      </c>
      <c r="J21" s="2">
        <v>9</v>
      </c>
    </row>
    <row r="22" spans="1:13" x14ac:dyDescent="0.25">
      <c r="A22" s="15">
        <v>6</v>
      </c>
      <c r="B22" s="2">
        <v>1</v>
      </c>
      <c r="C22" s="15" t="s">
        <v>0</v>
      </c>
      <c r="D22" s="15">
        <v>13</v>
      </c>
      <c r="E22" s="1">
        <v>7</v>
      </c>
      <c r="F22" s="1">
        <v>9</v>
      </c>
      <c r="G22" s="1">
        <v>6</v>
      </c>
      <c r="H22" s="1">
        <v>9</v>
      </c>
      <c r="I22" s="1">
        <v>5</v>
      </c>
      <c r="J22" s="1">
        <v>8</v>
      </c>
    </row>
    <row r="23" spans="1:13" x14ac:dyDescent="0.25">
      <c r="A23" s="15"/>
      <c r="B23" s="2">
        <v>2</v>
      </c>
      <c r="C23" s="15"/>
      <c r="D23" s="15"/>
      <c r="E23" s="1">
        <v>8</v>
      </c>
      <c r="F23" s="1">
        <v>9</v>
      </c>
      <c r="G23" s="1">
        <v>9</v>
      </c>
      <c r="H23" s="1">
        <v>9</v>
      </c>
      <c r="I23" s="1">
        <v>9</v>
      </c>
      <c r="J23" s="1">
        <v>9</v>
      </c>
    </row>
    <row r="24" spans="1:13" x14ac:dyDescent="0.25">
      <c r="A24" s="15"/>
      <c r="B24" s="2">
        <v>3</v>
      </c>
      <c r="C24" s="15"/>
      <c r="D24" s="15"/>
      <c r="E24" s="1">
        <v>7</v>
      </c>
      <c r="F24" s="1">
        <v>8</v>
      </c>
      <c r="G24" s="1">
        <v>9</v>
      </c>
      <c r="H24" s="1">
        <v>5</v>
      </c>
      <c r="I24" s="1">
        <v>9</v>
      </c>
      <c r="J24" s="1">
        <v>8</v>
      </c>
    </row>
    <row r="25" spans="1:13" x14ac:dyDescent="0.25">
      <c r="A25" s="15"/>
      <c r="B25" s="2">
        <v>4</v>
      </c>
      <c r="C25" s="15"/>
      <c r="D25" s="15"/>
      <c r="E25" s="1">
        <v>7</v>
      </c>
      <c r="F25" s="1">
        <v>7</v>
      </c>
      <c r="G25" s="1">
        <v>7</v>
      </c>
      <c r="H25" s="1">
        <v>5</v>
      </c>
      <c r="I25" s="1">
        <v>9</v>
      </c>
      <c r="J25" s="1">
        <v>9</v>
      </c>
    </row>
    <row r="26" spans="1:13" x14ac:dyDescent="0.25">
      <c r="A26" s="15">
        <v>7</v>
      </c>
      <c r="B26" s="1">
        <v>1</v>
      </c>
      <c r="C26" s="15" t="s">
        <v>1</v>
      </c>
      <c r="D26" s="15">
        <v>75</v>
      </c>
      <c r="E26" s="1">
        <v>8</v>
      </c>
      <c r="F26" s="1">
        <v>7</v>
      </c>
      <c r="G26" s="1">
        <v>8</v>
      </c>
      <c r="H26" s="1">
        <v>7</v>
      </c>
      <c r="I26" s="1">
        <v>7</v>
      </c>
      <c r="J26" s="1">
        <v>9</v>
      </c>
      <c r="L26" s="6" t="s">
        <v>10</v>
      </c>
      <c r="M26" s="6" t="s">
        <v>12</v>
      </c>
    </row>
    <row r="27" spans="1:13" x14ac:dyDescent="0.25">
      <c r="A27" s="15"/>
      <c r="B27" s="1">
        <v>2</v>
      </c>
      <c r="C27" s="15"/>
      <c r="D27" s="15"/>
      <c r="E27" s="1">
        <v>8</v>
      </c>
      <c r="F27" s="1">
        <v>7</v>
      </c>
      <c r="G27" s="1">
        <v>9</v>
      </c>
      <c r="H27" s="1">
        <v>8</v>
      </c>
      <c r="I27" s="1">
        <v>6</v>
      </c>
      <c r="J27" s="1">
        <v>9</v>
      </c>
      <c r="L27" s="7" t="s">
        <v>17</v>
      </c>
      <c r="M27" s="7">
        <v>7.09</v>
      </c>
    </row>
    <row r="28" spans="1:13" x14ac:dyDescent="0.25">
      <c r="A28" s="15"/>
      <c r="B28" s="1">
        <v>3</v>
      </c>
      <c r="C28" s="15"/>
      <c r="D28" s="15"/>
      <c r="E28" s="1">
        <v>8</v>
      </c>
      <c r="F28" s="1">
        <v>7</v>
      </c>
      <c r="G28" s="1">
        <v>9</v>
      </c>
      <c r="H28" s="1">
        <v>8</v>
      </c>
      <c r="I28" s="1">
        <v>7</v>
      </c>
      <c r="J28" s="1">
        <v>9</v>
      </c>
      <c r="L28" s="7">
        <v>2</v>
      </c>
      <c r="M28" s="7">
        <v>7.73</v>
      </c>
    </row>
    <row r="29" spans="1:13" x14ac:dyDescent="0.25">
      <c r="A29" s="15"/>
      <c r="B29" s="1">
        <v>4</v>
      </c>
      <c r="C29" s="15"/>
      <c r="D29" s="15"/>
      <c r="E29" s="1">
        <v>9</v>
      </c>
      <c r="F29" s="1">
        <v>9</v>
      </c>
      <c r="G29" s="1">
        <v>9</v>
      </c>
      <c r="H29" s="1">
        <v>9</v>
      </c>
      <c r="I29" s="1">
        <v>7</v>
      </c>
      <c r="J29" s="1">
        <v>9</v>
      </c>
      <c r="L29" s="7">
        <v>3</v>
      </c>
      <c r="M29" s="7">
        <v>8.09</v>
      </c>
    </row>
    <row r="30" spans="1:13" x14ac:dyDescent="0.25">
      <c r="A30" s="15">
        <v>8</v>
      </c>
      <c r="B30" s="1">
        <v>1</v>
      </c>
      <c r="C30" s="15" t="s">
        <v>0</v>
      </c>
      <c r="D30" s="15">
        <v>40</v>
      </c>
      <c r="E30" s="1">
        <v>5</v>
      </c>
      <c r="F30" s="1">
        <v>4</v>
      </c>
      <c r="G30" s="1">
        <v>7</v>
      </c>
      <c r="H30" s="1">
        <v>8</v>
      </c>
      <c r="I30" s="1">
        <v>7</v>
      </c>
      <c r="J30" s="1">
        <v>7</v>
      </c>
      <c r="L30" s="7">
        <v>4</v>
      </c>
      <c r="M30" s="7">
        <v>8.64</v>
      </c>
    </row>
    <row r="31" spans="1:13" x14ac:dyDescent="0.25">
      <c r="A31" s="15"/>
      <c r="B31" s="1">
        <v>2</v>
      </c>
      <c r="C31" s="15"/>
      <c r="D31" s="15"/>
      <c r="E31" s="1">
        <v>5</v>
      </c>
      <c r="F31" s="1">
        <v>5</v>
      </c>
      <c r="G31" s="1">
        <v>8</v>
      </c>
      <c r="H31" s="1">
        <v>9</v>
      </c>
      <c r="I31" s="1">
        <v>8</v>
      </c>
      <c r="J31" s="1">
        <v>8</v>
      </c>
    </row>
    <row r="32" spans="1:13" x14ac:dyDescent="0.25">
      <c r="A32" s="15"/>
      <c r="B32" s="1">
        <v>3</v>
      </c>
      <c r="C32" s="15"/>
      <c r="D32" s="15"/>
      <c r="E32" s="1">
        <v>5</v>
      </c>
      <c r="F32" s="1">
        <v>4</v>
      </c>
      <c r="G32" s="1">
        <v>6</v>
      </c>
      <c r="H32" s="1">
        <v>7</v>
      </c>
      <c r="I32" s="1">
        <v>8</v>
      </c>
      <c r="J32" s="1">
        <v>6</v>
      </c>
    </row>
    <row r="33" spans="1:10" x14ac:dyDescent="0.25">
      <c r="A33" s="15"/>
      <c r="B33" s="1">
        <v>4</v>
      </c>
      <c r="C33" s="15"/>
      <c r="D33" s="15"/>
      <c r="E33" s="1">
        <v>5</v>
      </c>
      <c r="F33" s="1">
        <v>4</v>
      </c>
      <c r="G33" s="1">
        <v>7</v>
      </c>
      <c r="H33" s="1">
        <v>8</v>
      </c>
      <c r="I33" s="1">
        <v>9</v>
      </c>
      <c r="J33" s="1">
        <v>8</v>
      </c>
    </row>
    <row r="34" spans="1:10" x14ac:dyDescent="0.25">
      <c r="A34" s="15">
        <v>9</v>
      </c>
      <c r="B34" s="1">
        <v>1</v>
      </c>
      <c r="C34" s="15" t="s">
        <v>1</v>
      </c>
      <c r="D34" s="15">
        <v>21</v>
      </c>
      <c r="E34" s="1">
        <v>6</v>
      </c>
      <c r="F34" s="1">
        <v>6</v>
      </c>
      <c r="G34" s="1">
        <v>8</v>
      </c>
      <c r="H34" s="1">
        <v>9</v>
      </c>
      <c r="I34" s="1">
        <v>9</v>
      </c>
      <c r="J34" s="1">
        <v>8</v>
      </c>
    </row>
    <row r="35" spans="1:10" x14ac:dyDescent="0.25">
      <c r="A35" s="15"/>
      <c r="B35" s="1">
        <v>2</v>
      </c>
      <c r="C35" s="15"/>
      <c r="D35" s="15"/>
      <c r="E35" s="1">
        <v>6</v>
      </c>
      <c r="F35" s="1">
        <v>3</v>
      </c>
      <c r="G35" s="1">
        <v>8</v>
      </c>
      <c r="H35" s="1">
        <v>9</v>
      </c>
      <c r="I35" s="1">
        <v>3</v>
      </c>
      <c r="J35" s="1">
        <v>7</v>
      </c>
    </row>
    <row r="36" spans="1:10" x14ac:dyDescent="0.25">
      <c r="A36" s="15"/>
      <c r="B36" s="1">
        <v>3</v>
      </c>
      <c r="C36" s="15"/>
      <c r="D36" s="15"/>
      <c r="E36" s="1">
        <v>6</v>
      </c>
      <c r="F36" s="1">
        <v>6</v>
      </c>
      <c r="G36" s="1">
        <v>8</v>
      </c>
      <c r="H36" s="1">
        <v>9</v>
      </c>
      <c r="I36" s="1">
        <v>3</v>
      </c>
      <c r="J36" s="1">
        <v>9</v>
      </c>
    </row>
    <row r="37" spans="1:10" x14ac:dyDescent="0.25">
      <c r="A37" s="15"/>
      <c r="B37" s="1">
        <v>4</v>
      </c>
      <c r="C37" s="15"/>
      <c r="D37" s="15"/>
      <c r="E37" s="1">
        <v>6</v>
      </c>
      <c r="F37" s="1">
        <v>6</v>
      </c>
      <c r="G37" s="1">
        <v>9</v>
      </c>
      <c r="H37" s="1">
        <v>9</v>
      </c>
      <c r="I37" s="1">
        <v>9</v>
      </c>
      <c r="J37" s="1">
        <v>9</v>
      </c>
    </row>
    <row r="38" spans="1:10" x14ac:dyDescent="0.25">
      <c r="A38" s="15">
        <v>10</v>
      </c>
      <c r="B38" s="1">
        <v>1</v>
      </c>
      <c r="C38" s="15" t="s">
        <v>0</v>
      </c>
      <c r="D38" s="15">
        <v>48</v>
      </c>
      <c r="E38" s="1">
        <v>8</v>
      </c>
      <c r="F38" s="1">
        <v>2</v>
      </c>
      <c r="G38" s="1">
        <v>2</v>
      </c>
      <c r="H38" s="1">
        <v>8</v>
      </c>
      <c r="I38" s="1">
        <v>8</v>
      </c>
      <c r="J38" s="1">
        <v>8</v>
      </c>
    </row>
    <row r="39" spans="1:10" x14ac:dyDescent="0.25">
      <c r="A39" s="15"/>
      <c r="B39" s="1">
        <v>2</v>
      </c>
      <c r="C39" s="15"/>
      <c r="D39" s="15"/>
      <c r="E39" s="1">
        <v>5</v>
      </c>
      <c r="F39" s="1">
        <v>3</v>
      </c>
      <c r="G39" s="1">
        <v>4</v>
      </c>
      <c r="H39" s="1">
        <v>3</v>
      </c>
      <c r="I39" s="1">
        <v>4</v>
      </c>
      <c r="J39" s="1">
        <v>8</v>
      </c>
    </row>
    <row r="40" spans="1:10" x14ac:dyDescent="0.25">
      <c r="A40" s="15"/>
      <c r="B40" s="1">
        <v>3</v>
      </c>
      <c r="C40" s="15"/>
      <c r="D40" s="15"/>
      <c r="E40" s="1">
        <v>8</v>
      </c>
      <c r="F40" s="1">
        <v>5</v>
      </c>
      <c r="G40" s="1">
        <v>8</v>
      </c>
      <c r="H40" s="1">
        <v>9</v>
      </c>
      <c r="I40" s="1">
        <v>8</v>
      </c>
      <c r="J40" s="1">
        <v>8</v>
      </c>
    </row>
    <row r="41" spans="1:10" x14ac:dyDescent="0.25">
      <c r="A41" s="15"/>
      <c r="B41" s="1">
        <v>4</v>
      </c>
      <c r="C41" s="15"/>
      <c r="D41" s="15"/>
      <c r="E41" s="1">
        <v>8</v>
      </c>
      <c r="F41" s="1">
        <v>6</v>
      </c>
      <c r="G41" s="1">
        <v>9</v>
      </c>
      <c r="H41" s="1">
        <v>8</v>
      </c>
      <c r="I41" s="1">
        <v>8</v>
      </c>
      <c r="J41" s="1">
        <v>8</v>
      </c>
    </row>
    <row r="42" spans="1:10" x14ac:dyDescent="0.25">
      <c r="A42" s="15">
        <v>11</v>
      </c>
      <c r="B42" s="1">
        <v>1</v>
      </c>
      <c r="C42" s="15" t="s">
        <v>0</v>
      </c>
      <c r="D42" s="15">
        <v>43</v>
      </c>
      <c r="E42" s="1">
        <v>6</v>
      </c>
      <c r="F42" s="1">
        <v>5</v>
      </c>
      <c r="G42" s="1">
        <v>5</v>
      </c>
      <c r="H42" s="1">
        <v>6</v>
      </c>
      <c r="I42" s="1">
        <v>4</v>
      </c>
      <c r="J42" s="1">
        <v>7</v>
      </c>
    </row>
    <row r="43" spans="1:10" x14ac:dyDescent="0.25">
      <c r="A43" s="15"/>
      <c r="B43" s="1">
        <v>2</v>
      </c>
      <c r="C43" s="15"/>
      <c r="D43" s="15"/>
      <c r="E43" s="1">
        <v>7</v>
      </c>
      <c r="F43" s="1">
        <v>6</v>
      </c>
      <c r="G43" s="1">
        <v>8</v>
      </c>
      <c r="H43" s="1">
        <v>5</v>
      </c>
      <c r="I43" s="1">
        <v>4</v>
      </c>
      <c r="J43" s="1">
        <v>8</v>
      </c>
    </row>
    <row r="44" spans="1:10" x14ac:dyDescent="0.25">
      <c r="A44" s="15"/>
      <c r="B44" s="1">
        <v>3</v>
      </c>
      <c r="C44" s="15"/>
      <c r="D44" s="15"/>
      <c r="E44" s="1">
        <v>7</v>
      </c>
      <c r="F44" s="1">
        <v>7</v>
      </c>
      <c r="G44" s="1">
        <v>8</v>
      </c>
      <c r="H44" s="1">
        <v>8</v>
      </c>
      <c r="I44" s="1">
        <v>4</v>
      </c>
      <c r="J44" s="1">
        <v>9</v>
      </c>
    </row>
    <row r="45" spans="1:10" x14ac:dyDescent="0.25">
      <c r="A45" s="15"/>
      <c r="B45" s="1">
        <v>4</v>
      </c>
      <c r="C45" s="15"/>
      <c r="D45" s="15"/>
      <c r="E45" s="1">
        <v>8</v>
      </c>
      <c r="F45" s="1">
        <v>8</v>
      </c>
      <c r="G45" s="1">
        <v>8</v>
      </c>
      <c r="H45" s="1">
        <v>9</v>
      </c>
      <c r="I45" s="1">
        <v>8</v>
      </c>
      <c r="J45" s="1">
        <v>9</v>
      </c>
    </row>
  </sheetData>
  <mergeCells count="33">
    <mergeCell ref="A42:A45"/>
    <mergeCell ref="C42:C45"/>
    <mergeCell ref="D42:D45"/>
    <mergeCell ref="A34:A37"/>
    <mergeCell ref="C34:C37"/>
    <mergeCell ref="D34:D37"/>
    <mergeCell ref="A38:A41"/>
    <mergeCell ref="C38:C41"/>
    <mergeCell ref="D38:D41"/>
    <mergeCell ref="A26:A29"/>
    <mergeCell ref="C26:C29"/>
    <mergeCell ref="D26:D29"/>
    <mergeCell ref="A30:A33"/>
    <mergeCell ref="C30:C33"/>
    <mergeCell ref="D30:D33"/>
    <mergeCell ref="A18:A21"/>
    <mergeCell ref="C18:C21"/>
    <mergeCell ref="D18:D21"/>
    <mergeCell ref="A22:A25"/>
    <mergeCell ref="C22:C25"/>
    <mergeCell ref="D22:D25"/>
    <mergeCell ref="A10:A13"/>
    <mergeCell ref="C10:C13"/>
    <mergeCell ref="D10:D13"/>
    <mergeCell ref="A14:A17"/>
    <mergeCell ref="C14:C17"/>
    <mergeCell ref="D14:D17"/>
    <mergeCell ref="A2:A5"/>
    <mergeCell ref="C2:C5"/>
    <mergeCell ref="D2:D5"/>
    <mergeCell ref="A6:A9"/>
    <mergeCell ref="C6:C9"/>
    <mergeCell ref="D6:D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3"/>
  <sheetViews>
    <sheetView workbookViewId="0">
      <selection activeCell="I23" sqref="I23"/>
    </sheetView>
  </sheetViews>
  <sheetFormatPr baseColWidth="10" defaultRowHeight="15" x14ac:dyDescent="0.25"/>
  <cols>
    <col min="25" max="25" width="6.140625" customWidth="1"/>
    <col min="26" max="26" width="25.28515625" customWidth="1"/>
    <col min="27" max="27" width="29.5703125" customWidth="1"/>
    <col min="28" max="28" width="20.28515625" customWidth="1"/>
    <col min="29" max="29" width="27" customWidth="1"/>
  </cols>
  <sheetData>
    <row r="1" spans="1:32" x14ac:dyDescent="0.25">
      <c r="A1" s="6" t="s">
        <v>18</v>
      </c>
      <c r="B1" s="6" t="s">
        <v>19</v>
      </c>
      <c r="C1" s="6" t="s">
        <v>20</v>
      </c>
      <c r="D1" s="6" t="s">
        <v>21</v>
      </c>
      <c r="Z1" t="s">
        <v>22</v>
      </c>
    </row>
    <row r="2" spans="1:32" x14ac:dyDescent="0.25">
      <c r="A2" s="7">
        <v>6</v>
      </c>
      <c r="B2" s="7">
        <v>7</v>
      </c>
      <c r="C2" s="7">
        <v>8</v>
      </c>
      <c r="D2" s="7">
        <v>9</v>
      </c>
    </row>
    <row r="3" spans="1:32" ht="15.75" thickBot="1" x14ac:dyDescent="0.3">
      <c r="A3" s="7">
        <v>8</v>
      </c>
      <c r="B3" s="7">
        <v>8</v>
      </c>
      <c r="C3" s="7">
        <v>8</v>
      </c>
      <c r="D3" s="7">
        <v>8</v>
      </c>
      <c r="Z3" t="s">
        <v>23</v>
      </c>
    </row>
    <row r="4" spans="1:32" x14ac:dyDescent="0.25">
      <c r="A4" s="7">
        <v>7</v>
      </c>
      <c r="B4" s="7">
        <v>8</v>
      </c>
      <c r="C4" s="7">
        <v>8</v>
      </c>
      <c r="D4" s="7">
        <v>8</v>
      </c>
      <c r="Z4" s="10" t="s">
        <v>24</v>
      </c>
      <c r="AA4" s="10" t="s">
        <v>25</v>
      </c>
      <c r="AB4" s="10" t="s">
        <v>26</v>
      </c>
      <c r="AC4" s="10" t="s">
        <v>27</v>
      </c>
      <c r="AD4" s="10" t="s">
        <v>28</v>
      </c>
    </row>
    <row r="5" spans="1:32" x14ac:dyDescent="0.25">
      <c r="A5" s="7">
        <v>5</v>
      </c>
      <c r="B5" s="7">
        <v>6</v>
      </c>
      <c r="C5" s="7">
        <v>8</v>
      </c>
      <c r="D5" s="7">
        <v>9</v>
      </c>
      <c r="Z5" s="8" t="s">
        <v>18</v>
      </c>
      <c r="AA5" s="8">
        <v>11</v>
      </c>
      <c r="AB5" s="8">
        <v>78</v>
      </c>
      <c r="AC5" s="8">
        <v>7.0909090909090908</v>
      </c>
      <c r="AD5" s="8">
        <v>1.6909090909090878</v>
      </c>
    </row>
    <row r="6" spans="1:32" x14ac:dyDescent="0.25">
      <c r="A6" s="7">
        <v>5</v>
      </c>
      <c r="B6" s="7">
        <v>7</v>
      </c>
      <c r="C6" s="7">
        <v>8</v>
      </c>
      <c r="D6" s="7">
        <v>9</v>
      </c>
      <c r="Z6" s="8" t="s">
        <v>19</v>
      </c>
      <c r="AA6" s="8">
        <v>11</v>
      </c>
      <c r="AB6" s="8">
        <v>85</v>
      </c>
      <c r="AC6" s="8">
        <v>7.7272727272727275</v>
      </c>
      <c r="AD6" s="8">
        <v>0.81818181818181301</v>
      </c>
    </row>
    <row r="7" spans="1:32" x14ac:dyDescent="0.25">
      <c r="A7" s="7">
        <v>8</v>
      </c>
      <c r="B7" s="7">
        <v>9</v>
      </c>
      <c r="C7" s="7">
        <v>8</v>
      </c>
      <c r="D7" s="7">
        <v>9</v>
      </c>
      <c r="Z7" s="8" t="s">
        <v>20</v>
      </c>
      <c r="AA7" s="8">
        <v>11</v>
      </c>
      <c r="AB7" s="8">
        <v>89</v>
      </c>
      <c r="AC7" s="8">
        <v>8.0909090909090917</v>
      </c>
      <c r="AD7" s="8">
        <v>0.69090909090909081</v>
      </c>
    </row>
    <row r="8" spans="1:32" ht="15.75" thickBot="1" x14ac:dyDescent="0.3">
      <c r="A8" s="7">
        <v>9</v>
      </c>
      <c r="B8" s="7">
        <v>9</v>
      </c>
      <c r="C8" s="7">
        <v>9</v>
      </c>
      <c r="D8" s="7">
        <v>9</v>
      </c>
      <c r="Z8" s="9" t="s">
        <v>21</v>
      </c>
      <c r="AA8" s="9">
        <v>11</v>
      </c>
      <c r="AB8" s="9">
        <v>95</v>
      </c>
      <c r="AC8" s="9">
        <v>8.6363636363636367</v>
      </c>
      <c r="AD8" s="9">
        <v>0.25454545454545452</v>
      </c>
    </row>
    <row r="9" spans="1:32" x14ac:dyDescent="0.25">
      <c r="A9" s="7">
        <v>7</v>
      </c>
      <c r="B9" s="7">
        <v>8</v>
      </c>
      <c r="C9" s="7">
        <v>6</v>
      </c>
      <c r="D9" s="7">
        <v>8</v>
      </c>
    </row>
    <row r="10" spans="1:32" x14ac:dyDescent="0.25">
      <c r="A10" s="7">
        <v>8</v>
      </c>
      <c r="B10" s="7">
        <v>7</v>
      </c>
      <c r="C10" s="7">
        <v>9</v>
      </c>
      <c r="D10" s="7">
        <v>9</v>
      </c>
    </row>
    <row r="11" spans="1:32" ht="15.75" thickBot="1" x14ac:dyDescent="0.3">
      <c r="A11" s="7">
        <v>8</v>
      </c>
      <c r="B11" s="7">
        <v>8</v>
      </c>
      <c r="C11" s="7">
        <v>8</v>
      </c>
      <c r="D11" s="7">
        <v>8</v>
      </c>
      <c r="Z11" t="s">
        <v>29</v>
      </c>
    </row>
    <row r="12" spans="1:32" x14ac:dyDescent="0.25">
      <c r="A12" s="7">
        <v>7</v>
      </c>
      <c r="B12" s="7">
        <v>8</v>
      </c>
      <c r="C12" s="7">
        <v>9</v>
      </c>
      <c r="D12" s="7">
        <v>9</v>
      </c>
      <c r="Z12" s="10" t="s">
        <v>30</v>
      </c>
      <c r="AA12" s="10" t="s">
        <v>31</v>
      </c>
      <c r="AB12" s="10" t="s">
        <v>32</v>
      </c>
      <c r="AC12" s="10" t="s">
        <v>33</v>
      </c>
      <c r="AD12" s="10" t="s">
        <v>34</v>
      </c>
      <c r="AE12" s="10" t="s">
        <v>35</v>
      </c>
      <c r="AF12" s="10" t="s">
        <v>36</v>
      </c>
    </row>
    <row r="13" spans="1:32" x14ac:dyDescent="0.25">
      <c r="Z13" s="8" t="s">
        <v>37</v>
      </c>
      <c r="AA13" s="8">
        <v>13.886363636363605</v>
      </c>
      <c r="AB13" s="8">
        <v>3</v>
      </c>
      <c r="AC13" s="8">
        <v>4.6287878787878682</v>
      </c>
      <c r="AD13" s="8">
        <v>5.3596491228070056</v>
      </c>
      <c r="AE13" s="8">
        <v>3.3783684124350341E-3</v>
      </c>
      <c r="AF13" s="8">
        <v>2.8387453980206416</v>
      </c>
    </row>
    <row r="14" spans="1:32" x14ac:dyDescent="0.25">
      <c r="Z14" s="8" t="s">
        <v>38</v>
      </c>
      <c r="AA14" s="8">
        <v>34.545454545454547</v>
      </c>
      <c r="AB14" s="8">
        <v>40</v>
      </c>
      <c r="AC14" s="8">
        <v>0.86363636363636365</v>
      </c>
      <c r="AD14" s="8"/>
      <c r="AE14" s="8"/>
      <c r="AF14" s="8"/>
    </row>
    <row r="15" spans="1:32" x14ac:dyDescent="0.25">
      <c r="Z15" s="8"/>
      <c r="AA15" s="8"/>
      <c r="AB15" s="8"/>
      <c r="AC15" s="8"/>
      <c r="AD15" s="8"/>
      <c r="AE15" s="8"/>
      <c r="AF15" s="8"/>
    </row>
    <row r="16" spans="1:32" ht="15.75" thickBot="1" x14ac:dyDescent="0.3">
      <c r="Z16" s="9" t="s">
        <v>39</v>
      </c>
      <c r="AA16" s="9">
        <v>48.431818181818151</v>
      </c>
      <c r="AB16" s="9">
        <v>43</v>
      </c>
      <c r="AC16" s="9"/>
      <c r="AD16" s="9"/>
      <c r="AE16" s="9"/>
      <c r="AF16" s="9"/>
    </row>
    <row r="18" spans="2:8" x14ac:dyDescent="0.25">
      <c r="B18" t="s">
        <v>22</v>
      </c>
    </row>
    <row r="20" spans="2:8" ht="15.75" thickBot="1" x14ac:dyDescent="0.3">
      <c r="B20" t="s">
        <v>23</v>
      </c>
    </row>
    <row r="21" spans="2:8" x14ac:dyDescent="0.25">
      <c r="B21" s="10" t="s">
        <v>24</v>
      </c>
      <c r="C21" s="10" t="s">
        <v>25</v>
      </c>
      <c r="D21" s="10" t="s">
        <v>26</v>
      </c>
      <c r="E21" s="10" t="s">
        <v>27</v>
      </c>
      <c r="F21" s="10" t="s">
        <v>28</v>
      </c>
    </row>
    <row r="22" spans="2:8" x14ac:dyDescent="0.25">
      <c r="B22" s="8" t="s">
        <v>18</v>
      </c>
      <c r="C22" s="8">
        <v>11</v>
      </c>
      <c r="D22" s="8">
        <v>78</v>
      </c>
      <c r="E22" s="13">
        <v>7.0909090909090908</v>
      </c>
      <c r="F22" s="13">
        <v>1.6909090909090878</v>
      </c>
    </row>
    <row r="23" spans="2:8" x14ac:dyDescent="0.25">
      <c r="B23" s="8" t="s">
        <v>19</v>
      </c>
      <c r="C23" s="8">
        <v>11</v>
      </c>
      <c r="D23" s="8">
        <v>85</v>
      </c>
      <c r="E23" s="13">
        <v>7.7272727272727275</v>
      </c>
      <c r="F23" s="13">
        <v>0.81818181818181301</v>
      </c>
    </row>
    <row r="24" spans="2:8" x14ac:dyDescent="0.25">
      <c r="B24" s="8" t="s">
        <v>20</v>
      </c>
      <c r="C24" s="8">
        <v>11</v>
      </c>
      <c r="D24" s="8">
        <v>89</v>
      </c>
      <c r="E24" s="13">
        <v>8.0909090909090917</v>
      </c>
      <c r="F24" s="13">
        <v>0.69090909090909081</v>
      </c>
    </row>
    <row r="25" spans="2:8" ht="15.75" thickBot="1" x14ac:dyDescent="0.3">
      <c r="B25" s="9" t="s">
        <v>21</v>
      </c>
      <c r="C25" s="9">
        <v>11</v>
      </c>
      <c r="D25" s="9">
        <v>95</v>
      </c>
      <c r="E25" s="14">
        <v>8.6363636363636367</v>
      </c>
      <c r="F25" s="14">
        <v>0.25454545454545452</v>
      </c>
    </row>
    <row r="28" spans="2:8" ht="15.75" thickBot="1" x14ac:dyDescent="0.3">
      <c r="B28" t="s">
        <v>29</v>
      </c>
    </row>
    <row r="29" spans="2:8" x14ac:dyDescent="0.25">
      <c r="B29" s="10" t="s">
        <v>30</v>
      </c>
      <c r="C29" s="10" t="s">
        <v>31</v>
      </c>
      <c r="D29" s="10" t="s">
        <v>32</v>
      </c>
      <c r="E29" s="10" t="s">
        <v>33</v>
      </c>
      <c r="F29" s="10" t="s">
        <v>34</v>
      </c>
      <c r="G29" s="10" t="s">
        <v>35</v>
      </c>
      <c r="H29" s="10" t="s">
        <v>36</v>
      </c>
    </row>
    <row r="30" spans="2:8" x14ac:dyDescent="0.25">
      <c r="B30" s="8" t="s">
        <v>37</v>
      </c>
      <c r="C30" s="13">
        <v>13.886363636363605</v>
      </c>
      <c r="D30" s="13">
        <v>3</v>
      </c>
      <c r="E30" s="13">
        <v>4.6287878787878682</v>
      </c>
      <c r="F30" s="13">
        <v>5.3596491228070056</v>
      </c>
      <c r="G30" s="13">
        <v>3.3783684124350341E-3</v>
      </c>
      <c r="H30" s="13">
        <v>2.8387453980206416</v>
      </c>
    </row>
    <row r="31" spans="2:8" x14ac:dyDescent="0.25">
      <c r="B31" s="8" t="s">
        <v>38</v>
      </c>
      <c r="C31" s="13">
        <v>34.545454545454547</v>
      </c>
      <c r="D31" s="13">
        <v>40</v>
      </c>
      <c r="E31" s="13">
        <v>0.86363636363636365</v>
      </c>
      <c r="F31" s="13"/>
      <c r="G31" s="13"/>
      <c r="H31" s="13"/>
    </row>
    <row r="32" spans="2:8" x14ac:dyDescent="0.25">
      <c r="B32" s="8"/>
      <c r="C32" s="13"/>
      <c r="D32" s="13"/>
      <c r="E32" s="13"/>
      <c r="F32" s="13"/>
      <c r="G32" s="13"/>
      <c r="H32" s="13"/>
    </row>
    <row r="33" spans="2:8" ht="15.75" thickBot="1" x14ac:dyDescent="0.3">
      <c r="B33" s="9" t="s">
        <v>39</v>
      </c>
      <c r="C33" s="14">
        <v>48.431818181818151</v>
      </c>
      <c r="D33" s="14">
        <v>43</v>
      </c>
      <c r="E33" s="14"/>
      <c r="F33" s="14"/>
      <c r="G33" s="14"/>
      <c r="H33" s="14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sqref="A1:D12"/>
    </sheetView>
  </sheetViews>
  <sheetFormatPr baseColWidth="10" defaultRowHeight="15" x14ac:dyDescent="0.25"/>
  <sheetData>
    <row r="1" spans="1:15" x14ac:dyDescent="0.25">
      <c r="A1" s="6" t="s">
        <v>41</v>
      </c>
      <c r="B1" s="6" t="s">
        <v>43</v>
      </c>
      <c r="C1" s="6" t="s">
        <v>40</v>
      </c>
      <c r="D1" s="6" t="s">
        <v>42</v>
      </c>
      <c r="I1" t="s">
        <v>22</v>
      </c>
    </row>
    <row r="2" spans="1:15" x14ac:dyDescent="0.25">
      <c r="A2" s="7">
        <v>7</v>
      </c>
      <c r="B2" s="7">
        <v>9</v>
      </c>
      <c r="C2" s="7">
        <v>6</v>
      </c>
      <c r="D2" s="7">
        <v>8</v>
      </c>
    </row>
    <row r="3" spans="1:15" ht="15.75" thickBot="1" x14ac:dyDescent="0.3">
      <c r="A3" s="7">
        <v>8</v>
      </c>
      <c r="B3" s="7">
        <v>8</v>
      </c>
      <c r="C3" s="7">
        <v>8</v>
      </c>
      <c r="D3" s="7">
        <v>8</v>
      </c>
      <c r="I3" t="s">
        <v>23</v>
      </c>
    </row>
    <row r="4" spans="1:15" x14ac:dyDescent="0.25">
      <c r="A4" s="7">
        <v>8</v>
      </c>
      <c r="B4" s="7">
        <v>8</v>
      </c>
      <c r="C4" s="7">
        <v>7</v>
      </c>
      <c r="D4" s="7">
        <v>8</v>
      </c>
      <c r="I4" s="10" t="s">
        <v>24</v>
      </c>
      <c r="J4" s="10" t="s">
        <v>25</v>
      </c>
      <c r="K4" s="10" t="s">
        <v>26</v>
      </c>
      <c r="L4" s="10" t="s">
        <v>27</v>
      </c>
      <c r="M4" s="10" t="s">
        <v>28</v>
      </c>
    </row>
    <row r="5" spans="1:15" x14ac:dyDescent="0.25">
      <c r="A5" s="7">
        <v>6</v>
      </c>
      <c r="B5" s="7">
        <v>9</v>
      </c>
      <c r="C5" s="7">
        <v>5</v>
      </c>
      <c r="D5" s="7">
        <v>8</v>
      </c>
      <c r="I5" s="8" t="s">
        <v>41</v>
      </c>
      <c r="J5" s="8">
        <v>11</v>
      </c>
      <c r="K5" s="8">
        <v>85</v>
      </c>
      <c r="L5" s="13">
        <v>7.7272727272727275</v>
      </c>
      <c r="M5" s="13">
        <v>0.81818181818181301</v>
      </c>
    </row>
    <row r="6" spans="1:15" x14ac:dyDescent="0.25">
      <c r="A6" s="7">
        <v>7</v>
      </c>
      <c r="B6" s="7">
        <v>9</v>
      </c>
      <c r="C6" s="7">
        <v>5</v>
      </c>
      <c r="D6" s="7">
        <v>8</v>
      </c>
      <c r="I6" s="8" t="s">
        <v>43</v>
      </c>
      <c r="J6" s="8">
        <v>11</v>
      </c>
      <c r="K6" s="8">
        <v>95</v>
      </c>
      <c r="L6" s="13">
        <v>8.6363636363636367</v>
      </c>
      <c r="M6" s="13">
        <v>0.25454545454545452</v>
      </c>
    </row>
    <row r="7" spans="1:15" x14ac:dyDescent="0.25">
      <c r="A7" s="7">
        <v>9</v>
      </c>
      <c r="B7" s="7">
        <v>9</v>
      </c>
      <c r="C7" s="7">
        <v>8</v>
      </c>
      <c r="D7" s="7">
        <v>8</v>
      </c>
      <c r="I7" s="8" t="s">
        <v>40</v>
      </c>
      <c r="J7" s="8">
        <v>11</v>
      </c>
      <c r="K7" s="8">
        <v>78</v>
      </c>
      <c r="L7" s="13">
        <v>7.0909090909090908</v>
      </c>
      <c r="M7" s="13">
        <v>1.6909090909090878</v>
      </c>
    </row>
    <row r="8" spans="1:15" ht="15.75" thickBot="1" x14ac:dyDescent="0.3">
      <c r="A8" s="7">
        <v>9</v>
      </c>
      <c r="B8" s="7">
        <v>9</v>
      </c>
      <c r="C8" s="7">
        <v>9</v>
      </c>
      <c r="D8" s="7">
        <v>9</v>
      </c>
      <c r="I8" s="9" t="s">
        <v>42</v>
      </c>
      <c r="J8" s="9">
        <v>11</v>
      </c>
      <c r="K8" s="9">
        <v>89</v>
      </c>
      <c r="L8" s="14">
        <v>8.0909090909090917</v>
      </c>
      <c r="M8" s="14">
        <v>0.69090909090909081</v>
      </c>
    </row>
    <row r="9" spans="1:15" x14ac:dyDescent="0.25">
      <c r="A9" s="7">
        <v>8</v>
      </c>
      <c r="B9" s="7">
        <v>8</v>
      </c>
      <c r="C9" s="7">
        <v>7</v>
      </c>
      <c r="D9" s="7">
        <v>6</v>
      </c>
    </row>
    <row r="10" spans="1:15" x14ac:dyDescent="0.25">
      <c r="A10" s="7">
        <v>7</v>
      </c>
      <c r="B10" s="7">
        <v>9</v>
      </c>
      <c r="C10" s="7">
        <v>8</v>
      </c>
      <c r="D10" s="7">
        <v>9</v>
      </c>
    </row>
    <row r="11" spans="1:15" ht="15.75" thickBot="1" x14ac:dyDescent="0.3">
      <c r="A11" s="7">
        <v>8</v>
      </c>
      <c r="B11" s="7">
        <v>8</v>
      </c>
      <c r="C11" s="7">
        <v>8</v>
      </c>
      <c r="D11" s="7">
        <v>8</v>
      </c>
      <c r="I11" t="s">
        <v>29</v>
      </c>
    </row>
    <row r="12" spans="1:15" x14ac:dyDescent="0.25">
      <c r="A12" s="7">
        <v>8</v>
      </c>
      <c r="B12" s="7">
        <v>9</v>
      </c>
      <c r="C12" s="7">
        <v>7</v>
      </c>
      <c r="D12" s="7">
        <v>9</v>
      </c>
      <c r="I12" s="10" t="s">
        <v>30</v>
      </c>
      <c r="J12" s="10" t="s">
        <v>31</v>
      </c>
      <c r="K12" s="10" t="s">
        <v>32</v>
      </c>
      <c r="L12" s="10" t="s">
        <v>33</v>
      </c>
      <c r="M12" s="10" t="s">
        <v>34</v>
      </c>
      <c r="N12" s="10" t="s">
        <v>35</v>
      </c>
      <c r="O12" s="10" t="s">
        <v>36</v>
      </c>
    </row>
    <row r="13" spans="1:15" x14ac:dyDescent="0.25">
      <c r="I13" s="8" t="s">
        <v>37</v>
      </c>
      <c r="J13" s="13">
        <v>13.886363636363605</v>
      </c>
      <c r="K13" s="8">
        <v>3</v>
      </c>
      <c r="L13" s="13">
        <v>4.6287878787878682</v>
      </c>
      <c r="M13" s="13">
        <v>5.3596491228070056</v>
      </c>
      <c r="N13" s="11">
        <v>3.3783684124350341E-3</v>
      </c>
      <c r="O13" s="13">
        <v>2.8387453980206416</v>
      </c>
    </row>
    <row r="14" spans="1:15" x14ac:dyDescent="0.25">
      <c r="I14" s="8" t="s">
        <v>38</v>
      </c>
      <c r="J14" s="13">
        <v>34.54545454545454</v>
      </c>
      <c r="K14" s="8">
        <v>40</v>
      </c>
      <c r="L14" s="13">
        <v>0.86363636363636354</v>
      </c>
      <c r="M14" s="13"/>
      <c r="N14" s="11"/>
      <c r="O14" s="11"/>
    </row>
    <row r="15" spans="1:15" x14ac:dyDescent="0.25">
      <c r="I15" s="8"/>
      <c r="J15" s="8"/>
      <c r="K15" s="8"/>
      <c r="L15" s="8"/>
      <c r="M15" s="8"/>
      <c r="N15" s="8"/>
      <c r="O15" s="8"/>
    </row>
    <row r="16" spans="1:15" ht="15.75" thickBot="1" x14ac:dyDescent="0.3">
      <c r="I16" s="9" t="s">
        <v>39</v>
      </c>
      <c r="J16" s="9">
        <v>48.431818181818144</v>
      </c>
      <c r="K16" s="9">
        <v>43</v>
      </c>
      <c r="L16" s="9"/>
      <c r="M16" s="9"/>
      <c r="N16" s="9"/>
      <c r="O16" s="9"/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activeCell="H21" sqref="H21"/>
    </sheetView>
  </sheetViews>
  <sheetFormatPr baseColWidth="10" defaultRowHeight="15" x14ac:dyDescent="0.25"/>
  <sheetData>
    <row r="1" spans="1:13" x14ac:dyDescent="0.25">
      <c r="A1" s="6" t="s">
        <v>40</v>
      </c>
      <c r="B1" s="6" t="s">
        <v>41</v>
      </c>
      <c r="C1" s="6" t="s">
        <v>42</v>
      </c>
      <c r="D1" s="6" t="s">
        <v>43</v>
      </c>
      <c r="G1" t="s">
        <v>22</v>
      </c>
    </row>
    <row r="2" spans="1:13" x14ac:dyDescent="0.25">
      <c r="A2" s="7">
        <v>6</v>
      </c>
      <c r="B2" s="7">
        <v>7</v>
      </c>
      <c r="C2" s="7">
        <v>7</v>
      </c>
      <c r="D2" s="7">
        <v>9</v>
      </c>
    </row>
    <row r="3" spans="1:13" ht="15.75" thickBot="1" x14ac:dyDescent="0.3">
      <c r="A3" s="7">
        <v>8</v>
      </c>
      <c r="B3" s="7">
        <v>8</v>
      </c>
      <c r="C3" s="7">
        <v>8</v>
      </c>
      <c r="D3" s="7">
        <v>8</v>
      </c>
      <c r="G3" t="s">
        <v>23</v>
      </c>
    </row>
    <row r="4" spans="1:13" x14ac:dyDescent="0.25">
      <c r="A4" s="7">
        <v>7</v>
      </c>
      <c r="B4" s="7">
        <v>8</v>
      </c>
      <c r="C4" s="7">
        <v>7</v>
      </c>
      <c r="D4" s="7">
        <v>8</v>
      </c>
      <c r="G4" s="10" t="s">
        <v>24</v>
      </c>
      <c r="H4" s="10" t="s">
        <v>25</v>
      </c>
      <c r="I4" s="10" t="s">
        <v>26</v>
      </c>
      <c r="J4" s="10" t="s">
        <v>27</v>
      </c>
      <c r="K4" s="10" t="s">
        <v>28</v>
      </c>
    </row>
    <row r="5" spans="1:13" x14ac:dyDescent="0.25">
      <c r="A5" s="7">
        <v>5</v>
      </c>
      <c r="B5" s="7">
        <v>4</v>
      </c>
      <c r="C5" s="7">
        <v>7</v>
      </c>
      <c r="D5" s="7">
        <v>8</v>
      </c>
      <c r="G5" s="8" t="s">
        <v>40</v>
      </c>
      <c r="H5" s="8">
        <v>11</v>
      </c>
      <c r="I5" s="8">
        <v>73</v>
      </c>
      <c r="J5" s="13">
        <v>6.6363636363636367</v>
      </c>
      <c r="K5" s="13">
        <v>1.2545454545454562</v>
      </c>
    </row>
    <row r="6" spans="1:13" x14ac:dyDescent="0.25">
      <c r="A6" s="7">
        <v>7</v>
      </c>
      <c r="B6" s="7">
        <v>5</v>
      </c>
      <c r="C6" s="7">
        <v>6</v>
      </c>
      <c r="D6" s="7">
        <v>9</v>
      </c>
      <c r="G6" s="8" t="s">
        <v>41</v>
      </c>
      <c r="H6" s="8">
        <v>11</v>
      </c>
      <c r="I6" s="8">
        <v>71</v>
      </c>
      <c r="J6" s="13">
        <v>6.4545454545454541</v>
      </c>
      <c r="K6" s="13">
        <v>2.2727272727272747</v>
      </c>
    </row>
    <row r="7" spans="1:13" x14ac:dyDescent="0.25">
      <c r="A7" s="7">
        <v>7</v>
      </c>
      <c r="B7" s="7">
        <v>8</v>
      </c>
      <c r="C7" s="7">
        <v>7</v>
      </c>
      <c r="D7" s="7">
        <v>7</v>
      </c>
      <c r="G7" s="8" t="s">
        <v>42</v>
      </c>
      <c r="H7" s="8">
        <v>11</v>
      </c>
      <c r="I7" s="8">
        <v>76</v>
      </c>
      <c r="J7" s="13">
        <v>6.9090909090909092</v>
      </c>
      <c r="K7" s="13">
        <v>0.89090909090908776</v>
      </c>
    </row>
    <row r="8" spans="1:13" ht="15.75" thickBot="1" x14ac:dyDescent="0.3">
      <c r="A8" s="7">
        <v>8</v>
      </c>
      <c r="B8" s="7">
        <v>8</v>
      </c>
      <c r="C8" s="7">
        <v>8</v>
      </c>
      <c r="D8" s="7">
        <v>9</v>
      </c>
      <c r="G8" s="9" t="s">
        <v>43</v>
      </c>
      <c r="H8" s="9">
        <v>11</v>
      </c>
      <c r="I8" s="9">
        <v>85</v>
      </c>
      <c r="J8" s="14">
        <v>7.7272727272727275</v>
      </c>
      <c r="K8" s="14">
        <v>1.6181818181818131</v>
      </c>
    </row>
    <row r="9" spans="1:13" x14ac:dyDescent="0.25">
      <c r="A9" s="7">
        <v>5</v>
      </c>
      <c r="B9" s="7">
        <v>5</v>
      </c>
      <c r="C9" s="7">
        <v>5</v>
      </c>
      <c r="D9" s="7">
        <v>5</v>
      </c>
    </row>
    <row r="10" spans="1:13" x14ac:dyDescent="0.25">
      <c r="A10" s="7">
        <v>6</v>
      </c>
      <c r="B10" s="7">
        <v>6</v>
      </c>
      <c r="C10" s="7">
        <v>6</v>
      </c>
      <c r="D10" s="7">
        <v>6</v>
      </c>
    </row>
    <row r="11" spans="1:13" ht="15.75" thickBot="1" x14ac:dyDescent="0.3">
      <c r="A11" s="7">
        <v>8</v>
      </c>
      <c r="B11" s="7">
        <v>5</v>
      </c>
      <c r="C11" s="7">
        <v>8</v>
      </c>
      <c r="D11" s="7">
        <v>8</v>
      </c>
      <c r="G11" t="s">
        <v>29</v>
      </c>
    </row>
    <row r="12" spans="1:13" x14ac:dyDescent="0.25">
      <c r="A12" s="7">
        <v>6</v>
      </c>
      <c r="B12" s="7">
        <v>7</v>
      </c>
      <c r="C12" s="7">
        <v>7</v>
      </c>
      <c r="D12" s="7">
        <v>8</v>
      </c>
      <c r="G12" s="10" t="s">
        <v>30</v>
      </c>
      <c r="H12" s="10" t="s">
        <v>31</v>
      </c>
      <c r="I12" s="10" t="s">
        <v>32</v>
      </c>
      <c r="J12" s="10" t="s">
        <v>33</v>
      </c>
      <c r="K12" s="10" t="s">
        <v>34</v>
      </c>
      <c r="L12" s="10" t="s">
        <v>35</v>
      </c>
      <c r="M12" s="10" t="s">
        <v>36</v>
      </c>
    </row>
    <row r="13" spans="1:13" x14ac:dyDescent="0.25">
      <c r="G13" s="8" t="s">
        <v>37</v>
      </c>
      <c r="H13" s="13">
        <v>10.431818181818201</v>
      </c>
      <c r="I13" s="8">
        <v>3</v>
      </c>
      <c r="J13" s="13">
        <v>3.4772727272727337</v>
      </c>
      <c r="K13" s="13">
        <v>2.3042168674698837</v>
      </c>
      <c r="L13" s="13">
        <v>9.148864765960385E-2</v>
      </c>
      <c r="M13" s="13">
        <v>2.8387453980206416</v>
      </c>
    </row>
    <row r="14" spans="1:13" x14ac:dyDescent="0.25">
      <c r="G14" s="8" t="s">
        <v>38</v>
      </c>
      <c r="H14" s="13">
        <v>60.36363636363636</v>
      </c>
      <c r="I14" s="8">
        <v>40</v>
      </c>
      <c r="J14" s="13">
        <v>1.509090909090909</v>
      </c>
      <c r="K14" s="13"/>
      <c r="L14" s="13"/>
      <c r="M14" s="13"/>
    </row>
    <row r="15" spans="1:13" x14ac:dyDescent="0.25">
      <c r="G15" s="8"/>
      <c r="H15" s="13"/>
      <c r="I15" s="8"/>
      <c r="J15" s="8"/>
      <c r="K15" s="8"/>
      <c r="L15" s="8"/>
      <c r="M15" s="8"/>
    </row>
    <row r="16" spans="1:13" ht="15.75" thickBot="1" x14ac:dyDescent="0.3">
      <c r="G16" s="9" t="s">
        <v>39</v>
      </c>
      <c r="H16" s="14">
        <v>70.795454545454561</v>
      </c>
      <c r="I16" s="9">
        <v>43</v>
      </c>
      <c r="J16" s="9"/>
      <c r="K16" s="9"/>
      <c r="L16" s="9"/>
      <c r="M16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selection activeCell="G1" sqref="G1:M16"/>
    </sheetView>
  </sheetViews>
  <sheetFormatPr baseColWidth="10" defaultRowHeight="15" x14ac:dyDescent="0.25"/>
  <sheetData>
    <row r="1" spans="1:13" x14ac:dyDescent="0.25">
      <c r="A1" s="6" t="s">
        <v>40</v>
      </c>
      <c r="B1" s="6" t="s">
        <v>41</v>
      </c>
      <c r="C1" s="6" t="s">
        <v>42</v>
      </c>
      <c r="D1" s="6" t="s">
        <v>43</v>
      </c>
      <c r="G1" t="s">
        <v>22</v>
      </c>
    </row>
    <row r="2" spans="1:13" x14ac:dyDescent="0.25">
      <c r="A2" s="7">
        <v>8</v>
      </c>
      <c r="B2" s="7">
        <v>8</v>
      </c>
      <c r="C2" s="7">
        <v>8</v>
      </c>
      <c r="D2" s="7">
        <v>9</v>
      </c>
    </row>
    <row r="3" spans="1:13" ht="15.75" thickBot="1" x14ac:dyDescent="0.3">
      <c r="A3" s="7">
        <v>8</v>
      </c>
      <c r="B3" s="7">
        <v>8</v>
      </c>
      <c r="C3" s="7">
        <v>8</v>
      </c>
      <c r="D3" s="7">
        <v>8</v>
      </c>
      <c r="G3" t="s">
        <v>23</v>
      </c>
    </row>
    <row r="4" spans="1:13" x14ac:dyDescent="0.25">
      <c r="A4" s="7">
        <v>8</v>
      </c>
      <c r="B4" s="7">
        <v>8</v>
      </c>
      <c r="C4" s="7">
        <v>7</v>
      </c>
      <c r="D4" s="7">
        <v>7</v>
      </c>
      <c r="G4" s="10" t="s">
        <v>24</v>
      </c>
      <c r="H4" s="10" t="s">
        <v>25</v>
      </c>
      <c r="I4" s="10" t="s">
        <v>26</v>
      </c>
      <c r="J4" s="10" t="s">
        <v>27</v>
      </c>
      <c r="K4" s="10" t="s">
        <v>28</v>
      </c>
    </row>
    <row r="5" spans="1:13" x14ac:dyDescent="0.25">
      <c r="A5" s="7">
        <v>7</v>
      </c>
      <c r="B5" s="7">
        <v>6</v>
      </c>
      <c r="C5" s="7">
        <v>8</v>
      </c>
      <c r="D5" s="7">
        <v>8</v>
      </c>
      <c r="G5" s="8" t="s">
        <v>40</v>
      </c>
      <c r="H5" s="8">
        <v>11</v>
      </c>
      <c r="I5" s="8">
        <v>72</v>
      </c>
      <c r="J5" s="13">
        <v>6.5454545454545459</v>
      </c>
      <c r="K5" s="13">
        <v>4.4727272727272744</v>
      </c>
    </row>
    <row r="6" spans="1:13" x14ac:dyDescent="0.25">
      <c r="A6" s="7">
        <v>8</v>
      </c>
      <c r="B6" s="7">
        <v>5</v>
      </c>
      <c r="C6" s="7">
        <v>8</v>
      </c>
      <c r="D6" s="7">
        <v>8</v>
      </c>
      <c r="G6" s="8" t="s">
        <v>41</v>
      </c>
      <c r="H6" s="8">
        <v>11</v>
      </c>
      <c r="I6" s="8">
        <v>68</v>
      </c>
      <c r="J6" s="13">
        <v>6.1818181818181817</v>
      </c>
      <c r="K6" s="13">
        <v>4.1636363636363622</v>
      </c>
    </row>
    <row r="7" spans="1:13" x14ac:dyDescent="0.25">
      <c r="A7" s="7">
        <v>9</v>
      </c>
      <c r="B7" s="7">
        <v>9</v>
      </c>
      <c r="C7" s="7">
        <v>8</v>
      </c>
      <c r="D7" s="7">
        <v>7</v>
      </c>
      <c r="G7" s="8" t="s">
        <v>42</v>
      </c>
      <c r="H7" s="8">
        <v>11</v>
      </c>
      <c r="I7" s="8">
        <v>76</v>
      </c>
      <c r="J7" s="13">
        <v>6.9090909090909092</v>
      </c>
      <c r="K7" s="13">
        <v>1.8909090909090878</v>
      </c>
    </row>
    <row r="8" spans="1:13" ht="15.75" thickBot="1" x14ac:dyDescent="0.3">
      <c r="A8" s="7">
        <v>7</v>
      </c>
      <c r="B8" s="7">
        <v>7</v>
      </c>
      <c r="C8" s="7">
        <v>7</v>
      </c>
      <c r="D8" s="7">
        <v>9</v>
      </c>
      <c r="G8" s="9" t="s">
        <v>43</v>
      </c>
      <c r="H8" s="9">
        <v>11</v>
      </c>
      <c r="I8" s="9">
        <v>80</v>
      </c>
      <c r="J8" s="14">
        <v>7.2727272727272725</v>
      </c>
      <c r="K8" s="14">
        <v>2.2181818181818129</v>
      </c>
    </row>
    <row r="9" spans="1:13" x14ac:dyDescent="0.25">
      <c r="A9" s="7">
        <v>4</v>
      </c>
      <c r="B9" s="7">
        <v>5</v>
      </c>
      <c r="C9" s="7">
        <v>4</v>
      </c>
      <c r="D9" s="7">
        <v>4</v>
      </c>
    </row>
    <row r="10" spans="1:13" x14ac:dyDescent="0.25">
      <c r="A10" s="7">
        <v>6</v>
      </c>
      <c r="B10" s="7">
        <v>3</v>
      </c>
      <c r="C10" s="7">
        <v>6</v>
      </c>
      <c r="D10" s="7">
        <v>6</v>
      </c>
    </row>
    <row r="11" spans="1:13" ht="15.75" thickBot="1" x14ac:dyDescent="0.3">
      <c r="A11" s="7">
        <v>2</v>
      </c>
      <c r="B11" s="7">
        <v>3</v>
      </c>
      <c r="C11" s="7">
        <v>5</v>
      </c>
      <c r="D11" s="7">
        <v>6</v>
      </c>
      <c r="G11" t="s">
        <v>29</v>
      </c>
    </row>
    <row r="12" spans="1:13" x14ac:dyDescent="0.25">
      <c r="A12" s="7">
        <v>5</v>
      </c>
      <c r="B12" s="7">
        <v>6</v>
      </c>
      <c r="C12" s="7">
        <v>7</v>
      </c>
      <c r="D12" s="7">
        <v>8</v>
      </c>
      <c r="G12" s="10" t="s">
        <v>30</v>
      </c>
      <c r="H12" s="10" t="s">
        <v>31</v>
      </c>
      <c r="I12" s="10" t="s">
        <v>32</v>
      </c>
      <c r="J12" s="10" t="s">
        <v>33</v>
      </c>
      <c r="K12" s="10" t="s">
        <v>34</v>
      </c>
      <c r="L12" s="10" t="s">
        <v>35</v>
      </c>
      <c r="M12" s="10" t="s">
        <v>36</v>
      </c>
    </row>
    <row r="13" spans="1:13" x14ac:dyDescent="0.25">
      <c r="G13" s="8" t="s">
        <v>37</v>
      </c>
      <c r="H13" s="13">
        <v>7.2727272727272503</v>
      </c>
      <c r="I13" s="8">
        <v>3</v>
      </c>
      <c r="J13" s="13">
        <v>2.4242424242424172</v>
      </c>
      <c r="K13" s="13">
        <v>0.76081787922015942</v>
      </c>
      <c r="L13" s="13">
        <v>0.52274205663516327</v>
      </c>
      <c r="M13" s="13">
        <v>2.8387453980206416</v>
      </c>
    </row>
    <row r="14" spans="1:13" x14ac:dyDescent="0.25">
      <c r="G14" s="8" t="s">
        <v>38</v>
      </c>
      <c r="H14" s="13">
        <v>127.45454545454547</v>
      </c>
      <c r="I14" s="8">
        <v>40</v>
      </c>
      <c r="J14" s="13">
        <v>3.1863636363636365</v>
      </c>
      <c r="K14" s="13"/>
      <c r="L14" s="13"/>
      <c r="M14" s="13"/>
    </row>
    <row r="15" spans="1:13" x14ac:dyDescent="0.25">
      <c r="G15" s="8"/>
      <c r="H15" s="13"/>
      <c r="I15" s="8"/>
      <c r="J15" s="8"/>
      <c r="K15" s="8"/>
      <c r="L15" s="8"/>
      <c r="M15" s="8"/>
    </row>
    <row r="16" spans="1:13" ht="15.75" thickBot="1" x14ac:dyDescent="0.3">
      <c r="G16" s="9" t="s">
        <v>39</v>
      </c>
      <c r="H16" s="14">
        <v>134.72727272727272</v>
      </c>
      <c r="I16" s="9">
        <v>43</v>
      </c>
      <c r="J16" s="9"/>
      <c r="K16" s="9"/>
      <c r="L16" s="9"/>
      <c r="M16" s="9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selection activeCell="G1" sqref="G1:M16"/>
    </sheetView>
  </sheetViews>
  <sheetFormatPr baseColWidth="10" defaultRowHeight="15" x14ac:dyDescent="0.25"/>
  <sheetData>
    <row r="1" spans="1:13" x14ac:dyDescent="0.25">
      <c r="A1" s="6" t="s">
        <v>40</v>
      </c>
      <c r="B1" s="6" t="s">
        <v>41</v>
      </c>
      <c r="C1" s="6" t="s">
        <v>42</v>
      </c>
      <c r="D1" s="6" t="s">
        <v>43</v>
      </c>
      <c r="G1" t="s">
        <v>22</v>
      </c>
    </row>
    <row r="2" spans="1:13" x14ac:dyDescent="0.25">
      <c r="A2" s="7">
        <v>6</v>
      </c>
      <c r="B2" s="7">
        <v>6</v>
      </c>
      <c r="C2" s="7">
        <v>7</v>
      </c>
      <c r="D2" s="7">
        <v>9</v>
      </c>
    </row>
    <row r="3" spans="1:13" ht="15.75" thickBot="1" x14ac:dyDescent="0.3">
      <c r="A3" s="7">
        <v>9</v>
      </c>
      <c r="B3" s="7">
        <v>9</v>
      </c>
      <c r="C3" s="7">
        <v>9</v>
      </c>
      <c r="D3" s="7">
        <v>9</v>
      </c>
      <c r="G3" t="s">
        <v>23</v>
      </c>
    </row>
    <row r="4" spans="1:13" x14ac:dyDescent="0.25">
      <c r="A4" s="7">
        <v>7</v>
      </c>
      <c r="B4" s="7">
        <v>7</v>
      </c>
      <c r="C4" s="7">
        <v>8</v>
      </c>
      <c r="D4" s="7">
        <v>8</v>
      </c>
      <c r="G4" s="10" t="s">
        <v>24</v>
      </c>
      <c r="H4" s="10" t="s">
        <v>25</v>
      </c>
      <c r="I4" s="10" t="s">
        <v>26</v>
      </c>
      <c r="J4" s="10" t="s">
        <v>27</v>
      </c>
      <c r="K4" s="10" t="s">
        <v>28</v>
      </c>
    </row>
    <row r="5" spans="1:13" x14ac:dyDescent="0.25">
      <c r="A5" s="7">
        <v>5</v>
      </c>
      <c r="B5" s="7">
        <v>4</v>
      </c>
      <c r="C5" s="7">
        <v>8</v>
      </c>
      <c r="D5" s="7">
        <v>9</v>
      </c>
      <c r="G5" s="8" t="s">
        <v>40</v>
      </c>
      <c r="H5" s="8">
        <v>11</v>
      </c>
      <c r="I5" s="8">
        <v>71</v>
      </c>
      <c r="J5" s="13">
        <v>6.4545454545454541</v>
      </c>
      <c r="K5" s="13">
        <v>3.8727272727272748</v>
      </c>
    </row>
    <row r="6" spans="1:13" x14ac:dyDescent="0.25">
      <c r="A6" s="7">
        <v>8</v>
      </c>
      <c r="B6" s="7">
        <v>7</v>
      </c>
      <c r="C6" s="7">
        <v>7</v>
      </c>
      <c r="D6" s="7">
        <v>8</v>
      </c>
      <c r="G6" s="8" t="s">
        <v>41</v>
      </c>
      <c r="H6" s="8">
        <v>11</v>
      </c>
      <c r="I6" s="8">
        <v>79</v>
      </c>
      <c r="J6" s="13">
        <v>7.1818181818181817</v>
      </c>
      <c r="K6" s="13">
        <v>3.3636363636363624</v>
      </c>
    </row>
    <row r="7" spans="1:13" x14ac:dyDescent="0.25">
      <c r="A7" s="7">
        <v>6</v>
      </c>
      <c r="B7" s="7">
        <v>9</v>
      </c>
      <c r="C7" s="7">
        <v>9</v>
      </c>
      <c r="D7" s="7">
        <v>7</v>
      </c>
      <c r="G7" s="8" t="s">
        <v>42</v>
      </c>
      <c r="H7" s="8">
        <v>11</v>
      </c>
      <c r="I7" s="8">
        <v>87</v>
      </c>
      <c r="J7" s="13">
        <v>7.9090909090909092</v>
      </c>
      <c r="K7" s="13">
        <v>0.89090909090908776</v>
      </c>
    </row>
    <row r="8" spans="1:13" ht="15.75" thickBot="1" x14ac:dyDescent="0.3">
      <c r="A8" s="7">
        <v>8</v>
      </c>
      <c r="B8" s="7">
        <v>9</v>
      </c>
      <c r="C8" s="7">
        <v>9</v>
      </c>
      <c r="D8" s="7">
        <v>9</v>
      </c>
      <c r="G8" s="9" t="s">
        <v>43</v>
      </c>
      <c r="H8" s="9">
        <v>11</v>
      </c>
      <c r="I8" s="9">
        <v>92</v>
      </c>
      <c r="J8" s="14">
        <v>8.3636363636363633</v>
      </c>
      <c r="K8" s="14">
        <v>0.65454545454545454</v>
      </c>
    </row>
    <row r="9" spans="1:13" x14ac:dyDescent="0.25">
      <c r="A9" s="7">
        <v>7</v>
      </c>
      <c r="B9" s="7">
        <v>8</v>
      </c>
      <c r="C9" s="7">
        <v>6</v>
      </c>
      <c r="D9" s="7">
        <v>7</v>
      </c>
    </row>
    <row r="10" spans="1:13" x14ac:dyDescent="0.25">
      <c r="A10" s="7">
        <v>8</v>
      </c>
      <c r="B10" s="7">
        <v>8</v>
      </c>
      <c r="C10" s="7">
        <v>8</v>
      </c>
      <c r="D10" s="7">
        <v>9</v>
      </c>
    </row>
    <row r="11" spans="1:13" ht="15.75" thickBot="1" x14ac:dyDescent="0.3">
      <c r="A11" s="7">
        <v>2</v>
      </c>
      <c r="B11" s="7">
        <v>4</v>
      </c>
      <c r="C11" s="7">
        <v>8</v>
      </c>
      <c r="D11" s="7">
        <v>9</v>
      </c>
      <c r="G11" t="s">
        <v>29</v>
      </c>
    </row>
    <row r="12" spans="1:13" x14ac:dyDescent="0.25">
      <c r="A12" s="7">
        <v>5</v>
      </c>
      <c r="B12" s="7">
        <v>8</v>
      </c>
      <c r="C12" s="7">
        <v>8</v>
      </c>
      <c r="D12" s="7">
        <v>8</v>
      </c>
      <c r="G12" s="10" t="s">
        <v>30</v>
      </c>
      <c r="H12" s="10" t="s">
        <v>31</v>
      </c>
      <c r="I12" s="10" t="s">
        <v>32</v>
      </c>
      <c r="J12" s="10" t="s">
        <v>33</v>
      </c>
      <c r="K12" s="10" t="s">
        <v>34</v>
      </c>
      <c r="L12" s="10" t="s">
        <v>35</v>
      </c>
      <c r="M12" s="10" t="s">
        <v>36</v>
      </c>
    </row>
    <row r="13" spans="1:13" x14ac:dyDescent="0.25">
      <c r="G13" s="8" t="s">
        <v>37</v>
      </c>
      <c r="H13" s="13">
        <v>23.159090909090878</v>
      </c>
      <c r="I13" s="8">
        <v>3</v>
      </c>
      <c r="J13" s="13">
        <v>7.7196969696969591</v>
      </c>
      <c r="K13" s="13">
        <v>3.5162180814354675</v>
      </c>
      <c r="L13" s="12">
        <v>2.3590000142416755E-2</v>
      </c>
      <c r="M13" s="13">
        <v>2.8387453980206416</v>
      </c>
    </row>
    <row r="14" spans="1:13" x14ac:dyDescent="0.25">
      <c r="G14" s="8" t="s">
        <v>38</v>
      </c>
      <c r="H14" s="13">
        <v>87.818181818181827</v>
      </c>
      <c r="I14" s="8">
        <v>40</v>
      </c>
      <c r="J14" s="13">
        <v>2.1954545454545458</v>
      </c>
      <c r="K14" s="13"/>
      <c r="L14" s="13"/>
      <c r="M14" s="13"/>
    </row>
    <row r="15" spans="1:13" x14ac:dyDescent="0.25">
      <c r="G15" s="8"/>
      <c r="H15" s="13"/>
      <c r="I15" s="8"/>
      <c r="J15" s="8"/>
      <c r="K15" s="8"/>
      <c r="L15" s="8"/>
      <c r="M15" s="8"/>
    </row>
    <row r="16" spans="1:13" ht="15.75" thickBot="1" x14ac:dyDescent="0.3">
      <c r="G16" s="9" t="s">
        <v>39</v>
      </c>
      <c r="H16" s="14">
        <v>110.97727272727271</v>
      </c>
      <c r="I16" s="9">
        <v>43</v>
      </c>
      <c r="J16" s="9"/>
      <c r="K16" s="9"/>
      <c r="L16" s="9"/>
      <c r="M16" s="9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selection activeCell="G1" sqref="G1:M16"/>
    </sheetView>
  </sheetViews>
  <sheetFormatPr baseColWidth="10" defaultRowHeight="15" x14ac:dyDescent="0.25"/>
  <sheetData>
    <row r="1" spans="1:13" x14ac:dyDescent="0.25">
      <c r="A1" s="6" t="s">
        <v>40</v>
      </c>
      <c r="B1" s="6" t="s">
        <v>41</v>
      </c>
      <c r="C1" s="6" t="s">
        <v>42</v>
      </c>
      <c r="D1" s="6" t="s">
        <v>43</v>
      </c>
      <c r="G1" t="s">
        <v>22</v>
      </c>
    </row>
    <row r="2" spans="1:13" x14ac:dyDescent="0.25">
      <c r="A2" s="7">
        <v>7</v>
      </c>
      <c r="B2" s="7">
        <v>7</v>
      </c>
      <c r="C2" s="7">
        <v>8</v>
      </c>
      <c r="D2" s="7">
        <v>9</v>
      </c>
    </row>
    <row r="3" spans="1:13" ht="15.75" thickBot="1" x14ac:dyDescent="0.3">
      <c r="A3" s="7">
        <v>7</v>
      </c>
      <c r="B3" s="7">
        <v>9</v>
      </c>
      <c r="C3" s="7">
        <v>7</v>
      </c>
      <c r="D3" s="7">
        <v>9</v>
      </c>
      <c r="G3" t="s">
        <v>23</v>
      </c>
    </row>
    <row r="4" spans="1:13" x14ac:dyDescent="0.25">
      <c r="A4" s="7">
        <v>8</v>
      </c>
      <c r="B4" s="7">
        <v>8</v>
      </c>
      <c r="C4" s="7">
        <v>8</v>
      </c>
      <c r="D4" s="7">
        <v>8</v>
      </c>
      <c r="G4" s="10" t="s">
        <v>24</v>
      </c>
      <c r="H4" s="10" t="s">
        <v>25</v>
      </c>
      <c r="I4" s="10" t="s">
        <v>26</v>
      </c>
      <c r="J4" s="10" t="s">
        <v>27</v>
      </c>
      <c r="K4" s="10" t="s">
        <v>28</v>
      </c>
    </row>
    <row r="5" spans="1:13" x14ac:dyDescent="0.25">
      <c r="A5" s="7">
        <v>6</v>
      </c>
      <c r="B5" s="7">
        <v>5</v>
      </c>
      <c r="C5" s="7">
        <v>8</v>
      </c>
      <c r="D5" s="7">
        <v>8</v>
      </c>
      <c r="G5" s="8" t="s">
        <v>40</v>
      </c>
      <c r="H5" s="8">
        <v>11</v>
      </c>
      <c r="I5" s="8">
        <v>81</v>
      </c>
      <c r="J5" s="13">
        <v>7.3636363636363633</v>
      </c>
      <c r="K5" s="13">
        <v>1.2545454545454504</v>
      </c>
    </row>
    <row r="6" spans="1:13" x14ac:dyDescent="0.25">
      <c r="A6" s="7">
        <v>6</v>
      </c>
      <c r="B6" s="7">
        <v>8</v>
      </c>
      <c r="C6" s="7">
        <v>7</v>
      </c>
      <c r="D6" s="7">
        <v>9</v>
      </c>
      <c r="G6" s="8" t="s">
        <v>41</v>
      </c>
      <c r="H6" s="8">
        <v>11</v>
      </c>
      <c r="I6" s="8">
        <v>80</v>
      </c>
      <c r="J6" s="13">
        <v>7.2727272727272725</v>
      </c>
      <c r="K6" s="13">
        <v>4.2181818181818134</v>
      </c>
    </row>
    <row r="7" spans="1:13" x14ac:dyDescent="0.25">
      <c r="A7" s="7">
        <v>9</v>
      </c>
      <c r="B7" s="7">
        <v>9</v>
      </c>
      <c r="C7" s="7">
        <v>5</v>
      </c>
      <c r="D7" s="7">
        <v>5</v>
      </c>
      <c r="G7" s="8" t="s">
        <v>42</v>
      </c>
      <c r="H7" s="8">
        <v>11</v>
      </c>
      <c r="I7" s="8">
        <v>84</v>
      </c>
      <c r="J7" s="13">
        <v>7.6363636363636367</v>
      </c>
      <c r="K7" s="13">
        <v>1.2545454545454504</v>
      </c>
    </row>
    <row r="8" spans="1:13" ht="15.75" thickBot="1" x14ac:dyDescent="0.3">
      <c r="A8" s="7">
        <v>7</v>
      </c>
      <c r="B8" s="7">
        <v>8</v>
      </c>
      <c r="C8" s="7">
        <v>8</v>
      </c>
      <c r="D8" s="7">
        <v>9</v>
      </c>
      <c r="G8" s="9" t="s">
        <v>43</v>
      </c>
      <c r="H8" s="9">
        <v>11</v>
      </c>
      <c r="I8" s="9">
        <v>91</v>
      </c>
      <c r="J8" s="14">
        <v>8.2727272727272734</v>
      </c>
      <c r="K8" s="14">
        <v>1.4181818181818131</v>
      </c>
    </row>
    <row r="9" spans="1:13" x14ac:dyDescent="0.25">
      <c r="A9" s="7">
        <v>8</v>
      </c>
      <c r="B9" s="7">
        <v>9</v>
      </c>
      <c r="C9" s="7">
        <v>7</v>
      </c>
      <c r="D9" s="7">
        <v>8</v>
      </c>
    </row>
    <row r="10" spans="1:13" x14ac:dyDescent="0.25">
      <c r="A10" s="7">
        <v>9</v>
      </c>
      <c r="B10" s="7">
        <v>9</v>
      </c>
      <c r="C10" s="7">
        <v>9</v>
      </c>
      <c r="D10" s="7">
        <v>9</v>
      </c>
    </row>
    <row r="11" spans="1:13" ht="15.75" thickBot="1" x14ac:dyDescent="0.3">
      <c r="A11" s="7">
        <v>8</v>
      </c>
      <c r="B11" s="7">
        <v>3</v>
      </c>
      <c r="C11" s="7">
        <v>9</v>
      </c>
      <c r="D11" s="7">
        <v>8</v>
      </c>
      <c r="G11" t="s">
        <v>29</v>
      </c>
    </row>
    <row r="12" spans="1:13" x14ac:dyDescent="0.25">
      <c r="A12" s="7">
        <v>6</v>
      </c>
      <c r="B12" s="7">
        <v>5</v>
      </c>
      <c r="C12" s="7">
        <v>8</v>
      </c>
      <c r="D12" s="7">
        <v>9</v>
      </c>
      <c r="G12" s="10" t="s">
        <v>30</v>
      </c>
      <c r="H12" s="10" t="s">
        <v>31</v>
      </c>
      <c r="I12" s="10" t="s">
        <v>32</v>
      </c>
      <c r="J12" s="10" t="s">
        <v>33</v>
      </c>
      <c r="K12" s="10" t="s">
        <v>34</v>
      </c>
      <c r="L12" s="10" t="s">
        <v>35</v>
      </c>
      <c r="M12" s="10" t="s">
        <v>36</v>
      </c>
    </row>
    <row r="13" spans="1:13" x14ac:dyDescent="0.25">
      <c r="G13" s="8" t="s">
        <v>37</v>
      </c>
      <c r="H13" s="13">
        <v>6.7272727272727622</v>
      </c>
      <c r="I13" s="8">
        <v>3</v>
      </c>
      <c r="J13" s="13">
        <v>2.2424242424242542</v>
      </c>
      <c r="K13" s="13">
        <v>1.101190476190482</v>
      </c>
      <c r="L13" s="13">
        <v>0.35990260269448837</v>
      </c>
      <c r="M13" s="13">
        <v>2.8387453980206416</v>
      </c>
    </row>
    <row r="14" spans="1:13" x14ac:dyDescent="0.25">
      <c r="G14" s="8" t="s">
        <v>38</v>
      </c>
      <c r="H14" s="13">
        <v>81.454545454545453</v>
      </c>
      <c r="I14" s="8">
        <v>40</v>
      </c>
      <c r="J14" s="13">
        <v>2.0363636363636362</v>
      </c>
      <c r="K14" s="13"/>
      <c r="L14" s="13"/>
      <c r="M14" s="13"/>
    </row>
    <row r="15" spans="1:13" x14ac:dyDescent="0.25">
      <c r="G15" s="8"/>
      <c r="H15" s="13"/>
      <c r="I15" s="8"/>
      <c r="J15" s="8"/>
      <c r="K15" s="8"/>
      <c r="L15" s="8"/>
      <c r="M15" s="8"/>
    </row>
    <row r="16" spans="1:13" ht="15.75" thickBot="1" x14ac:dyDescent="0.3">
      <c r="G16" s="9" t="s">
        <v>39</v>
      </c>
      <c r="H16" s="14">
        <v>88.181818181818215</v>
      </c>
      <c r="I16" s="9">
        <v>43</v>
      </c>
      <c r="J16" s="9"/>
      <c r="K16" s="9"/>
      <c r="L16" s="9"/>
      <c r="M16" s="9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selection activeCell="E16" sqref="E16"/>
    </sheetView>
  </sheetViews>
  <sheetFormatPr baseColWidth="10" defaultRowHeight="15" x14ac:dyDescent="0.25"/>
  <sheetData>
    <row r="1" spans="1:13" x14ac:dyDescent="0.25">
      <c r="A1" s="6" t="s">
        <v>40</v>
      </c>
      <c r="B1" s="6" t="s">
        <v>41</v>
      </c>
      <c r="C1" s="6" t="s">
        <v>42</v>
      </c>
      <c r="D1" s="6" t="s">
        <v>43</v>
      </c>
      <c r="G1" t="s">
        <v>22</v>
      </c>
    </row>
    <row r="2" spans="1:13" x14ac:dyDescent="0.25">
      <c r="A2" s="7">
        <v>7</v>
      </c>
      <c r="B2" s="7">
        <v>7</v>
      </c>
      <c r="C2" s="7">
        <v>7</v>
      </c>
      <c r="D2" s="7">
        <v>8</v>
      </c>
    </row>
    <row r="3" spans="1:13" ht="15.75" thickBot="1" x14ac:dyDescent="0.3">
      <c r="A3" s="7">
        <v>8</v>
      </c>
      <c r="B3" s="7">
        <v>8</v>
      </c>
      <c r="C3" s="7">
        <v>8</v>
      </c>
      <c r="D3" s="7">
        <v>8</v>
      </c>
      <c r="G3" t="s">
        <v>23</v>
      </c>
    </row>
    <row r="4" spans="1:13" x14ac:dyDescent="0.25">
      <c r="A4" s="7">
        <v>6</v>
      </c>
      <c r="B4" s="7">
        <v>7</v>
      </c>
      <c r="C4" s="7">
        <v>8</v>
      </c>
      <c r="D4" s="7">
        <v>8</v>
      </c>
      <c r="G4" s="10" t="s">
        <v>24</v>
      </c>
      <c r="H4" s="10" t="s">
        <v>25</v>
      </c>
      <c r="I4" s="10" t="s">
        <v>26</v>
      </c>
      <c r="J4" s="10" t="s">
        <v>27</v>
      </c>
      <c r="K4" s="10" t="s">
        <v>28</v>
      </c>
    </row>
    <row r="5" spans="1:13" x14ac:dyDescent="0.25">
      <c r="A5" s="7">
        <v>4</v>
      </c>
      <c r="B5" s="7">
        <v>6</v>
      </c>
      <c r="C5" s="7">
        <v>7</v>
      </c>
      <c r="D5" s="7">
        <v>8</v>
      </c>
      <c r="G5" s="8" t="s">
        <v>40</v>
      </c>
      <c r="H5" s="8">
        <v>11</v>
      </c>
      <c r="I5" s="8">
        <v>70</v>
      </c>
      <c r="J5" s="13">
        <v>6.3636363636363633</v>
      </c>
      <c r="K5" s="13">
        <v>2.8545454545454563</v>
      </c>
    </row>
    <row r="6" spans="1:13" x14ac:dyDescent="0.25">
      <c r="A6" s="7">
        <v>5</v>
      </c>
      <c r="B6" s="7">
        <v>5</v>
      </c>
      <c r="C6" s="7">
        <v>7</v>
      </c>
      <c r="D6" s="7">
        <v>8</v>
      </c>
      <c r="G6" s="8" t="s">
        <v>41</v>
      </c>
      <c r="H6" s="8">
        <v>11</v>
      </c>
      <c r="I6" s="8">
        <v>67</v>
      </c>
      <c r="J6" s="13">
        <v>6.0909090909090908</v>
      </c>
      <c r="K6" s="13">
        <v>3.6909090909090936</v>
      </c>
    </row>
    <row r="7" spans="1:13" x14ac:dyDescent="0.25">
      <c r="A7" s="7">
        <v>5</v>
      </c>
      <c r="B7" s="7">
        <v>9</v>
      </c>
      <c r="C7" s="7">
        <v>9</v>
      </c>
      <c r="D7" s="7">
        <v>9</v>
      </c>
      <c r="G7" s="8" t="s">
        <v>42</v>
      </c>
      <c r="H7" s="8">
        <v>11</v>
      </c>
      <c r="I7" s="8">
        <v>76</v>
      </c>
      <c r="J7" s="13">
        <v>6.9090909090909092</v>
      </c>
      <c r="K7" s="13">
        <v>3.2909090909090879</v>
      </c>
    </row>
    <row r="8" spans="1:13" ht="15.75" thickBot="1" x14ac:dyDescent="0.3">
      <c r="A8" s="7">
        <v>7</v>
      </c>
      <c r="B8" s="7">
        <v>6</v>
      </c>
      <c r="C8" s="7">
        <v>7</v>
      </c>
      <c r="D8" s="7">
        <v>7</v>
      </c>
      <c r="G8" s="9" t="s">
        <v>43</v>
      </c>
      <c r="H8" s="9">
        <v>11</v>
      </c>
      <c r="I8" s="9">
        <v>90</v>
      </c>
      <c r="J8" s="14">
        <v>8.1818181818181817</v>
      </c>
      <c r="K8" s="14">
        <v>0.36363636363636359</v>
      </c>
    </row>
    <row r="9" spans="1:13" x14ac:dyDescent="0.25">
      <c r="A9" s="7">
        <v>7</v>
      </c>
      <c r="B9" s="7">
        <v>8</v>
      </c>
      <c r="C9" s="7">
        <v>8</v>
      </c>
      <c r="D9" s="7">
        <v>9</v>
      </c>
    </row>
    <row r="10" spans="1:13" x14ac:dyDescent="0.25">
      <c r="A10" s="7">
        <v>9</v>
      </c>
      <c r="B10" s="7">
        <v>3</v>
      </c>
      <c r="C10" s="7">
        <v>3</v>
      </c>
      <c r="D10" s="7">
        <v>9</v>
      </c>
    </row>
    <row r="11" spans="1:13" ht="15.75" thickBot="1" x14ac:dyDescent="0.3">
      <c r="A11" s="7">
        <v>8</v>
      </c>
      <c r="B11" s="7">
        <v>4</v>
      </c>
      <c r="C11" s="7">
        <v>8</v>
      </c>
      <c r="D11" s="7">
        <v>8</v>
      </c>
      <c r="G11" t="s">
        <v>29</v>
      </c>
    </row>
    <row r="12" spans="1:13" x14ac:dyDescent="0.25">
      <c r="A12" s="7">
        <v>4</v>
      </c>
      <c r="B12" s="7">
        <v>4</v>
      </c>
      <c r="C12" s="7">
        <v>4</v>
      </c>
      <c r="D12" s="7">
        <v>8</v>
      </c>
      <c r="G12" s="10" t="s">
        <v>30</v>
      </c>
      <c r="H12" s="10" t="s">
        <v>31</v>
      </c>
      <c r="I12" s="10" t="s">
        <v>32</v>
      </c>
      <c r="J12" s="10" t="s">
        <v>33</v>
      </c>
      <c r="K12" s="10" t="s">
        <v>34</v>
      </c>
      <c r="L12" s="10" t="s">
        <v>35</v>
      </c>
      <c r="M12" s="10" t="s">
        <v>36</v>
      </c>
    </row>
    <row r="13" spans="1:13" x14ac:dyDescent="0.25">
      <c r="G13" s="8" t="s">
        <v>37</v>
      </c>
      <c r="H13" s="13">
        <v>28.431818181818187</v>
      </c>
      <c r="I13" s="8">
        <v>3</v>
      </c>
      <c r="J13" s="13">
        <v>9.4772727272727284</v>
      </c>
      <c r="K13" s="13">
        <v>3.7165775401069525</v>
      </c>
      <c r="L13" s="13">
        <v>1.8958878814437651E-2</v>
      </c>
      <c r="M13" s="13">
        <v>2.8387453980206416</v>
      </c>
    </row>
    <row r="14" spans="1:13" x14ac:dyDescent="0.25">
      <c r="G14" s="8" t="s">
        <v>38</v>
      </c>
      <c r="H14" s="8">
        <v>102</v>
      </c>
      <c r="I14" s="8">
        <v>40</v>
      </c>
      <c r="J14" s="8">
        <v>2.5499999999999998</v>
      </c>
      <c r="K14" s="8"/>
      <c r="L14" s="8"/>
      <c r="M14" s="8"/>
    </row>
    <row r="15" spans="1:13" x14ac:dyDescent="0.25">
      <c r="G15" s="8"/>
      <c r="H15" s="8"/>
      <c r="I15" s="8"/>
      <c r="J15" s="8"/>
      <c r="K15" s="8"/>
      <c r="L15" s="8"/>
      <c r="M15" s="8"/>
    </row>
    <row r="16" spans="1:13" ht="15.75" thickBot="1" x14ac:dyDescent="0.3">
      <c r="G16" s="9" t="s">
        <v>39</v>
      </c>
      <c r="H16" s="14">
        <v>130.43181818181819</v>
      </c>
      <c r="I16" s="9">
        <v>43</v>
      </c>
      <c r="J16" s="9"/>
      <c r="K16" s="9"/>
      <c r="L16" s="9"/>
      <c r="M16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GRAFICOS</vt:lpstr>
      <vt:lpstr>ANNOVA</vt:lpstr>
      <vt:lpstr>ANOVA ACEPTACION</vt:lpstr>
      <vt:lpstr>apariencia</vt:lpstr>
      <vt:lpstr>color</vt:lpstr>
      <vt:lpstr>sabor</vt:lpstr>
      <vt:lpstr>consistencia</vt:lpstr>
      <vt:lpstr>aroma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2026-06-12T21:28:14Z</dcterms:created>
  <dcterms:modified xsi:type="dcterms:W3CDTF">2026-06-16T11:56:32Z</dcterms:modified>
</cp:coreProperties>
</file>